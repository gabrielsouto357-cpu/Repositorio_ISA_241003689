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12eb79b38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8760a5dd2733416f"/>
    <x:sheet xmlns:r="http://schemas.openxmlformats.org/officeDocument/2006/relationships" name="Programas_6" sheetId="2" r:id="R0537cd570cec4d2f"/>
  </x:sheets>
</x:workbook>
</file>

<file path=xl/sharedStrings.xml><?xml version="1.0" encoding="utf-8"?>
<x:sst xmlns:x="http://schemas.openxmlformats.org/spreadsheetml/2006/main">
  <x:si>
    <x:t xml:space="preserve">Preparador: matrícula 241003689 (execução assistida por IA) | Revisão humana: (em branco) | Riscos: MATRIZ_RISCOS_PT315.xlsx</x:t>
  </x:si>
  <x:si>
    <x:t xml:space="preserve">ID proc.</x:t>
  </x:si>
  <x:si>
    <x:t xml:space="preserve">ID risco</x:t>
  </x:si>
  <x:si>
    <x:t xml:space="preserve">Conta/divulgação</x:t>
  </x:si>
  <x:si>
    <x:t xml:space="preserve">Afirmação</x:t>
  </x:si>
  <x:si>
    <x:t xml:space="preserve">Risco inerente</x:t>
  </x:si>
  <x:si>
    <x:t xml:space="preserve">Risco de controle</x:t>
  </x:si>
  <x:si>
    <x:t xml:space="preserve">Significativo?</x:t>
  </x:si>
  <x:si>
    <x:t xml:space="preserve">Fonte do fato</x:t>
  </x:si>
  <x:si>
    <x:t xml:space="preserve">Programa</x:t>
  </x:si>
  <x:si>
    <x:t xml:space="preserve">Procedimento</x:t>
  </x:si>
  <x:si>
    <x:t xml:space="preserve">Natureza</x:t>
  </x:si>
  <x:si>
    <x:t xml:space="preserve">Época</x:t>
  </x:si>
  <x:si>
    <x:t xml:space="preserve">Extensão</x:t>
  </x:si>
  <x:si>
    <x:t xml:space="preserve">População</x:t>
  </x:si>
  <x:si>
    <x:t xml:space="preserve">Critério de exceção</x:t>
  </x:si>
  <x:si>
    <x:t xml:space="preserve">Evidência esperada</x:t>
  </x:si>
  <x:si>
    <x:t xml:space="preserve">Modalidade</x:t>
  </x:si>
  <x:si>
    <x:t xml:space="preserve">Papel responsável</x:t>
  </x:si>
  <x:si>
    <x:t xml:space="preserve">Estado</x:t>
  </x:si>
  <x:si>
    <x:t xml:space="preserve">REC-01</x:t>
  </x:si>
  <x:si>
    <x:t xml:space="preserve">R02</x:t>
  </x:si>
  <x:si>
    <x:t xml:space="preserve">Receita de infraestrutura e custos de construção</x:t>
  </x:si>
  <x:si>
    <x:t xml:space="preserve">Ocorrência</x:t>
  </x:si>
  <x:si>
    <x:t xml:space="preserve">Alto (ext. sup.)</x:t>
  </x:si>
  <x:si>
    <x:t xml:space="preserve">Máximo (não testado)</x:t>
  </x:si>
  <x:si>
    <x:t xml:space="preserve">Sim</x:t>
  </x:si>
  <x:si>
    <x:t xml:space="preserve">F0003 p.25, 136</x:t>
  </x:si>
  <x:si>
    <x:t xml:space="preserve">PG-REC</x:t>
  </x:si>
  <x:si>
    <x:t xml:space="preserve">Confrontar receitas de infraestrutura com medições de obra e contratos</x:t>
  </x:si>
  <x:si>
    <x:t xml:space="preserve">Teste de detalhes</x:t>
  </x:si>
  <x:si>
    <x:t xml:space="preserve">Final</x:t>
  </x:si>
  <x:si>
    <x:t xml:space="preserve">100% dos itens ≥ ME + amostra MUS do restante (tamanho no PT 530)</x:t>
  </x:si>
  <x:si>
    <x:t xml:space="preserve">Lançamentos de receita de infraestrutura de 2025 (base sintética, D-012)</x:t>
  </x:si>
  <x:si>
    <x:t xml:space="preserve">Item sem medição ou contrato = exceção</x:t>
  </x:si>
  <x:si>
    <x:t xml:space="preserve">Medição, contrato, aprovação</x:t>
  </x:si>
  <x:si>
    <x:t xml:space="preserve">[SD]</x:t>
  </x:si>
  <x:si>
    <x:t xml:space="preserve">PT 530 / PT 500</x:t>
  </x:si>
  <x:si>
    <x:t xml:space="preserve">Executado [SD] (PT 530, B08)</x:t>
  </x:si>
  <x:si>
    <x:t xml:space="preserve">REC-02</x:t>
  </x:si>
  <x:si>
    <x:t xml:space="preserve">Corte</x:t>
  </x:si>
  <x:si>
    <x:t xml:space="preserve">Testar o corte de 15/12/2025 a 31/01/2026: competência × data de registro</x:t>
  </x:si>
  <x:si>
    <x:t xml:space="preserve">100% dos itens ≥ CT no intervalo</x:t>
  </x:si>
  <x:si>
    <x:t xml:space="preserve">Lançamentos do intervalo (base sintética)</x:t>
  </x:si>
  <x:si>
    <x:t xml:space="preserve">Competência diferente do período de registro = exceção</x:t>
  </x:si>
  <x:si>
    <x:t xml:space="preserve">Datas da medição e do lançamento</x:t>
  </x:si>
  <x:si>
    <x:t xml:space="preserve">PT 530</x:t>
  </x:si>
  <x:si>
    <x:t xml:space="preserve">REC-03</x:t>
  </x:si>
  <x:si>
    <x:t xml:space="preserve">Inspecionar medições de obra posteriores a 31/12 (dados reais)</x:t>
  </x:si>
  <x:si>
    <x:t xml:space="preserve">Inspeção</x:t>
  </x:si>
  <x:si>
    <x:t xml:space="preserve">Contratos com medição ≥ ME</x:t>
  </x:si>
  <x:si>
    <x:t xml:space="preserve">Medições jan–fev/2026</x:t>
  </x:si>
  <x:si>
    <x:t xml:space="preserve">Medição de 2025 registrada em 2026</x:t>
  </x:si>
  <x:si>
    <x:t xml:space="preserve">Boletins de medição</x:t>
  </x:si>
  <x:si>
    <x:t xml:space="preserve">[PA]</x:t>
  </x:si>
  <x:si>
    <x:t xml:space="preserve">PT 560</x:t>
  </x:si>
  <x:si>
    <x:t xml:space="preserve">Planejado</x:t>
  </x:si>
  <x:si>
    <x:t xml:space="preserve">REC-04</x:t>
  </x:si>
  <x:si>
    <x:t xml:space="preserve">R03</x:t>
  </x:si>
  <x:si>
    <x:t xml:space="preserve">Remuneração dos ativos da concessão</x:t>
  </x:si>
  <x:si>
    <x:t xml:space="preserve">Exatidão</x:t>
  </x:si>
  <x:si>
    <x:t xml:space="preserve">Alto</x:t>
  </x:si>
  <x:si>
    <x:t xml:space="preserve">REC-05</x:t>
  </x:si>
  <x:si>
    <x:t xml:space="preserve">R04</x:t>
  </x:si>
  <x:si>
    <x:t xml:space="preserve">Receitas de RTP</x:t>
  </x:si>
  <x:si>
    <x:t xml:space="preserve">Ocorrência; exatidão</x:t>
  </x:si>
  <x:si>
    <x:t xml:space="preserve">Moderado</x:t>
  </x:si>
  <x:si>
    <x:t xml:space="preserve">Não</x:t>
  </x:si>
  <x:si>
    <x:t xml:space="preserve">F0003 p.12, 25</x:t>
  </x:si>
  <x:si>
    <x:t xml:space="preserve">Conciliar a receita de RTP de 159.463 com os atos da ANEEL (Despacho 1.228/25; REH 3.470 e 3.475)</x:t>
  </x:si>
  <x:si>
    <x:t xml:space="preserve">Inspeção / recálculo</x:t>
  </x:si>
  <x:si>
    <x:t xml:space="preserve">100% dos atos</x:t>
  </x:si>
  <x:si>
    <x:t xml:space="preserve">Atos de 2025 citados no F0003 p.12</x:t>
  </x:si>
  <x:si>
    <x:t xml:space="preserve">Valor sem ato correspondente</x:t>
  </x:si>
  <x:si>
    <x:t xml:space="preserve">Atos ANEEL (não obtidos: P08, P11)</x:t>
  </x:si>
  <x:si>
    <x:t xml:space="preserve">PT 540 / PT 250</x:t>
  </x:si>
  <x:si>
    <x:t xml:space="preserve">REC-06</x:t>
  </x:si>
  <x:si>
    <x:t xml:space="preserve">Apresentação</x:t>
  </x:si>
  <x:si>
    <x:t xml:space="preserve">Conciliar a abertura da receita (nota 16) com a DRE e com o KAM (6.330.048)</x:t>
  </x:si>
  <x:si>
    <x:t xml:space="preserve">Recálculo</x:t>
  </x:si>
  <x:si>
    <x:t xml:space="preserve">100%</x:t>
  </x:si>
  <x:si>
    <x:t xml:space="preserve">Nota 16 e DRE (dados reais)</x:t>
  </x:si>
  <x:si>
    <x:t xml:space="preserve">Diferença &gt; CT</x:t>
  </x:si>
  <x:si>
    <x:t xml:space="preserve">F0003 p.25, 136, nota 16</x:t>
  </x:si>
  <x:si>
    <x:t xml:space="preserve">[RP]</x:t>
  </x:si>
  <x:si>
    <x:t xml:space="preserve">PT 500</x:t>
  </x:si>
  <x:si>
    <x:t xml:space="preserve">EST-01</x:t>
  </x:si>
  <x:si>
    <x:t xml:space="preserve">R01</x:t>
  </x:si>
  <x:si>
    <x:t xml:space="preserve">Ativos da concessão – mensuração</x:t>
  </x:si>
  <x:si>
    <x:t xml:space="preserve">Avaliação</x:t>
  </x:si>
  <x:si>
    <x:t xml:space="preserve">F0003 p.39, 44–45, 136</x:t>
  </x:si>
  <x:si>
    <x:t xml:space="preserve">PG-ESTIM</x:t>
  </x:si>
  <x:si>
    <x:t xml:space="preserve">Entender o modelo e as premissas (taxas implícitas de 4,2% a 9,9%, margens, RBSE) e compará-las com 2024 (revisão retrospectiva)</x:t>
  </x:si>
  <x:si>
    <x:t xml:space="preserve">Indagação / análise</x:t>
  </x:si>
  <x:si>
    <x:t xml:space="preserve">Todas as premissas divulgadas</x:t>
  </x:si>
  <x:si>
    <x:t xml:space="preserve">Notas 5 de 2024 e de 2025</x:t>
  </x:si>
  <x:si>
    <x:t xml:space="preserve">Mudança de premissa sem justificativa = indício de viés</x:t>
  </x:si>
  <x:si>
    <x:t xml:space="preserve">F0003 p.39, 44–45; F0011 nota 5</x:t>
  </x:si>
  <x:si>
    <x:t xml:space="preserve">PT 540</x:t>
  </x:si>
  <x:si>
    <x:t xml:space="preserve">Executado [RP] (PT 540)</x:t>
  </x:si>
  <x:si>
    <x:t xml:space="preserve">EST-02</x:t>
  </x:si>
  <x:si>
    <x:t xml:space="preserve">Avaliação; exatidão</x:t>
  </x:si>
  <x:si>
    <x:t xml:space="preserve">Recalcular o fluxo de recebimento e a remuneração por contrato</x:t>
  </x:si>
  <x:si>
    <x:t xml:space="preserve">Amostra de contratos (PT 530) + todos os contratos ≥ ME</x:t>
  </x:si>
  <x:si>
    <x:t xml:space="preserve">Contratos da base sintética</x:t>
  </x:si>
  <x:si>
    <x:t xml:space="preserve">Diferença &gt; CT por contrato; acumulado vs ME</x:t>
  </x:si>
  <x:si>
    <x:t xml:space="preserve">Contrato, RAP, taxa</x:t>
  </x:si>
  <x:si>
    <x:t xml:space="preserve">PT 530 / PT 540</x:t>
  </x:si>
  <x:si>
    <x:t xml:space="preserve">EST-03</x:t>
  </x:si>
  <x:si>
    <x:t xml:space="preserve">R17</x:t>
  </x:si>
  <x:si>
    <x:t xml:space="preserve">Divulgação de sensibilidade do ativo contratual</x:t>
  </x:si>
  <x:si>
    <x:t xml:space="preserve">Divulgação</x:t>
  </x:si>
  <x:si>
    <x:t xml:space="preserve">Alto (D-026)</x:t>
  </x:si>
  <x:si>
    <x:t xml:space="preserve">F0003 p.39, 44–45</x:t>
  </x:si>
  <x:si>
    <x:t xml:space="preserve">Avaliar a divulgação de premissas e da sensibilidade (CPC 47 / ICPC 01)</x:t>
  </x:si>
  <x:si>
    <x:t xml:space="preserve">100% da nota 5</x:t>
  </x:si>
  <x:si>
    <x:t xml:space="preserve">Nota 5 (dados reais)</x:t>
  </x:si>
  <x:si>
    <x:t xml:space="preserve">Ausência de informação exigida</x:t>
  </x:si>
  <x:si>
    <x:t xml:space="preserve">F0003 nota 5</x:t>
  </x:si>
  <x:si>
    <x:t xml:space="preserve">Executado [RP] (PT 540 §6.5): sem sensibilidade divulgada</x:t>
  </x:si>
  <x:si>
    <x:t xml:space="preserve">EST-04</x:t>
  </x:si>
  <x:si>
    <x:t xml:space="preserve">R05</x:t>
  </x:si>
  <x:si>
    <x:t xml:space="preserve">Valores a receber – SEFAZ (Lei 4.819/58)</x:t>
  </x:si>
  <x:si>
    <x:t xml:space="preserve">Avaliação; existência</x:t>
  </x:si>
  <x:si>
    <x:t xml:space="preserve">F0003 p.69–72, 135</x:t>
  </x:si>
  <x:si>
    <x:t xml:space="preserve">Analisar a movimentação do recebível (2.564.527 → 2.760.806) e a perda esperada constante de 516.255; avaliar a ênfase</x:t>
  </x:si>
  <x:si>
    <x:t xml:space="preserve">Recálculo / análise</x:t>
  </x:si>
  <x:si>
    <x:t xml:space="preserve">Nota 9.2</x:t>
  </x:si>
  <x:si>
    <x:t xml:space="preserve">Movimento sem explicação; perda não reavaliada</x:t>
  </x:si>
  <x:si>
    <x:t xml:space="preserve">EST-05</x:t>
  </x:si>
  <x:si>
    <x:t xml:space="preserve">Obter a carta dos advogados sobre os processos da Lei 4.819/58 (minuta não enviada)</x:t>
  </x:si>
  <x:si>
    <x:t xml:space="preserve">Confirmação</x:t>
  </x:si>
  <x:si>
    <x:t xml:space="preserve">Processos do recebível</x:t>
  </x:si>
  <x:si>
    <x:t xml:space="preserve">Processos da nota 9</x:t>
  </x:si>
  <x:si>
    <x:t xml:space="preserve">Avaliação divergente da administração</x:t>
  </x:si>
  <x:si>
    <x:t xml:space="preserve">Resposta do advogado</x:t>
  </x:si>
  <x:si>
    <x:t xml:space="preserve">PT 501 / PT 505</x:t>
  </x:si>
  <x:si>
    <x:t xml:space="preserve">Minuta M505-04 preparada – NÃO ENVIADA [PA]/[SD] (PT 501/505)</x:t>
  </x:si>
  <x:si>
    <x:t xml:space="preserve">EST-06</x:t>
  </x:si>
  <x:si>
    <x:t xml:space="preserve">R07</x:t>
  </x:si>
  <x:si>
    <x:t xml:space="preserve">Tributos diferidos</x:t>
  </x:si>
  <x:si>
    <x:t xml:space="preserve">F0003 p.24, nota 8</x:t>
  </x:si>
  <x:si>
    <x:t xml:space="preserve">Recálculo analítico de IR/CS diferidos (alíquota × diferenças temporárias) e de PIS/COFINS diferidos sobre o ativo contratual</x:t>
  </x:si>
  <x:si>
    <x:t xml:space="preserve">Analítico substantivo</x:t>
  </x:si>
  <x:si>
    <x:t xml:space="preserve">Expectativa global; limiar = ME</x:t>
  </x:si>
  <x:si>
    <x:t xml:space="preserve">Notas 8 e 21</x:t>
  </x:si>
  <x:si>
    <x:t xml:space="preserve">Diferença &gt; ME</x:t>
  </x:si>
  <x:si>
    <x:t xml:space="preserve">F0003 notas 8 e 21</x:t>
  </x:si>
  <x:si>
    <x:t xml:space="preserve">PT 520</x:t>
  </x:si>
  <x:si>
    <x:t xml:space="preserve">EST-07</x:t>
  </x:si>
  <x:si>
    <x:t xml:space="preserve">R09</x:t>
  </x:si>
  <x:si>
    <x:t xml:space="preserve">Provisões e contingências</x:t>
  </x:si>
  <x:si>
    <x:t xml:space="preserve">Integridade; avaliação</x:t>
  </x:si>
  <x:si>
    <x:t xml:space="preserve">F0003 p.12, 24, 86</x:t>
  </x:si>
  <x:si>
    <x:t xml:space="preserve">Ler a nota 14, os eventos subsequentes e as atas; carta de advogados</x:t>
  </x:si>
  <x:si>
    <x:t xml:space="preserve">Inspeção / confirmação</x:t>
  </x:si>
  <x:si>
    <x:t xml:space="preserve">Processos ≥ CT</x:t>
  </x:si>
  <x:si>
    <x:t xml:space="preserve">Nota 14; F0056–F0074</x:t>
  </x:si>
  <x:si>
    <x:t xml:space="preserve">Processo provável não provisionado</x:t>
  </x:si>
  <x:si>
    <x:t xml:space="preserve">F0003 p.86; atas</x:t>
  </x:si>
  <x:si>
    <x:t xml:space="preserve">[RP]/[PA]</x:t>
  </x:si>
  <x:si>
    <x:t xml:space="preserve">PT 501 / PT 560</x:t>
  </x:si>
  <x:si>
    <x:t xml:space="preserve">Executado [RP] em parte (PT 501: nota 14 recalculada; PT 560: eventos); carta e atas [PA]</x:t>
  </x:si>
  <x:si>
    <x:t xml:space="preserve">PAS-01</x:t>
  </x:si>
  <x:si>
    <x:t xml:space="preserve">R06</x:t>
  </x:si>
  <x:si>
    <x:t xml:space="preserve">Debêntures e empréstimos</x:t>
  </x:si>
  <x:si>
    <x:t xml:space="preserve">Integridade; exatidão</x:t>
  </x:si>
  <x:si>
    <x:t xml:space="preserve">F0003 p.13, 24</x:t>
  </x:si>
  <x:si>
    <x:t xml:space="preserve">PG-PASS</x:t>
  </x:si>
  <x:si>
    <x:t xml:space="preserve">Conciliar a dívida bruta de 16.007.349 (F0003 p.13) com as notas 6.1 e 6.2 e com a movimentação (emissões de 3.980.000; BNDES de 82.100)</x:t>
  </x:si>
  <x:si>
    <x:t xml:space="preserve">100% das séries</x:t>
  </x:si>
  <x:si>
    <x:t xml:space="preserve">Notas 6.1 e 6.2</x:t>
  </x:si>
  <x:si>
    <x:t xml:space="preserve">F0003 p.13, 24, notas 6</x:t>
  </x:si>
  <x:si>
    <x:t xml:space="preserve">PAS-02</x:t>
  </x:si>
  <x:si>
    <x:t xml:space="preserve">Existência; apresentação</x:t>
  </x:si>
  <x:si>
    <x:t xml:space="preserve">Confirmar saldos com o agente fiduciário e o BNDES; recalcular os covenants</x:t>
  </x:si>
  <x:si>
    <x:t xml:space="preserve">Confirmação / recálculo</x:t>
  </x:si>
  <x:si>
    <x:t xml:space="preserve">Todas as séries ≥ ME</x:t>
  </x:si>
  <x:si>
    <x:t xml:space="preserve">Debêntures e BNDES</x:t>
  </x:si>
  <x:si>
    <x:t xml:space="preserve">Divergência; covenant violado sem reclassificação</x:t>
  </x:si>
  <x:si>
    <x:t xml:space="preserve">Respostas; escrituras (P21)</x:t>
  </x:si>
  <x:si>
    <x:t xml:space="preserve">PT 505</x:t>
  </x:si>
  <x:si>
    <x:t xml:space="preserve">Minutas M505-03 e M505-05 preparadas – NÃO ENVIADAS; escrituras lidas [RP] (PT 505)</x:t>
  </x:si>
  <x:si>
    <x:t xml:space="preserve">PAS-06</x:t>
  </x:si>
  <x:si>
    <x:t xml:space="preserve">Classificação; divulgação</x:t>
  </x:si>
  <x:si>
    <x:t xml:space="preserve">Avaliar o efeito do indicador Dívida Líquida/EBITDA Ajustado acima do contratual (BNDES): anuência de nov/2025 obtida antes de 31/12 (classificação não circulante, CPC 26) e coerência entre a nota 6.2 ("ficou acima do estipulado") e a nota 23 ("atendem aos requisitos")</x:t>
  </x:si>
  <x:si>
    <x:t xml:space="preserve">Inspeção / análise</x:t>
  </x:si>
  <x:si>
    <x:t xml:space="preserve">Contratos BNDES 13.2.1344.1, 17.2.0291.1 e 21.2.0416.1</x:t>
  </x:si>
  <x:si>
    <x:t xml:space="preserve">Notas 6.2 e 23 (dados reais)</x:t>
  </x:si>
  <x:si>
    <x:t xml:space="preserve">Waiver posterior à data-base ou divulgação contraditória</x:t>
  </x:si>
  <x:si>
    <x:t xml:space="preserve">F0003 p.54, p.117; carta de anuência (sem acesso)</x:t>
  </x:si>
  <x:si>
    <x:t xml:space="preserve">PT 500 / PT 570</x:t>
  </x:si>
  <x:si>
    <x:t xml:space="preserve">Executado [RP] (PT 570 §6.3): anuência antes de 31/12; covenant indicativo ≈ 4,0×; contradição nota 23 mantida (P21)</x:t>
  </x:si>
  <x:si>
    <x:t xml:space="preserve">PAS-03</x:t>
  </x:si>
  <x:si>
    <x:t xml:space="preserve">R15</x:t>
  </x:si>
  <x:si>
    <x:t xml:space="preserve">Fornecedores e provisões de capex – corte</x:t>
  </x:si>
  <x:si>
    <x:t xml:space="preserve">Integridade; corte</x:t>
  </x:si>
  <x:si>
    <x:t xml:space="preserve">F0003 p.24, 136</x:t>
  </x:si>
  <x:si>
    <x:t xml:space="preserve">Buscar passivos não registrados: pagamentos e medições de jan–fev/2026</x:t>
  </x:si>
  <x:si>
    <x:t xml:space="preserve">Pagamentos ≥ CT</x:t>
  </x:si>
  <x:si>
    <x:t xml:space="preserve">Pagamentos pós-data (base sintética)</x:t>
  </x:si>
  <x:si>
    <x:t xml:space="preserve">Pagamento de serviço de 2025 sem passivo</x:t>
  </x:si>
  <x:si>
    <x:t xml:space="preserve">Notas fiscais, medições</x:t>
  </x:si>
  <x:si>
    <x:t xml:space="preserve">PT 530 / PT 560</x:t>
  </x:si>
  <x:si>
    <x:t xml:space="preserve">PAS-04</x:t>
  </x:si>
  <x:si>
    <x:t xml:space="preserve">R11</x:t>
  </x:si>
  <x:si>
    <x:t xml:space="preserve">Partes relacionadas</x:t>
  </x:si>
  <x:si>
    <x:t xml:space="preserve">Integridade; divulgação</x:t>
  </x:si>
  <x:si>
    <x:t xml:space="preserve">F0003 p.109–111</x:t>
  </x:si>
  <x:si>
    <x:t xml:space="preserve">Comparar a nota 22 com o Formulário de Referência e a estrutura societária</x:t>
  </x:si>
  <x:si>
    <x:t xml:space="preserve">Nota 22; F0053</x:t>
  </x:si>
  <x:si>
    <x:t xml:space="preserve">Parte relacionada não divulgada</x:t>
  </x:si>
  <x:si>
    <x:t xml:space="preserve">F0003 p.109–111; F0053</x:t>
  </x:si>
  <x:si>
    <x:t xml:space="preserve">PT 550</x:t>
  </x:si>
  <x:si>
    <x:t xml:space="preserve">Executado [RP] (PT 550): 4 conferem; Eletrobras 2.315 a explicar</x:t>
  </x:si>
  <x:si>
    <x:t xml:space="preserve">PAS-05</x:t>
  </x:si>
  <x:si>
    <x:t xml:space="preserve">R12</x:t>
  </x:si>
  <x:si>
    <x:t xml:space="preserve">Honorários da administração</x:t>
  </x:si>
  <x:si>
    <x:t xml:space="preserve">Baixo</x:t>
  </x:si>
  <x:si>
    <x:t xml:space="preserve">F0003 p.25</x:t>
  </x:si>
  <x:si>
    <x:t xml:space="preserve">Conciliar os honorários da administração (17.537) com a nota 22.2 e com a remuneração aprovada em assembleia (materialidade específica qualitativa)</x:t>
  </x:si>
  <x:si>
    <x:t xml:space="preserve">Recálculo / inspeção</x:t>
  </x:si>
  <x:si>
    <x:t xml:space="preserve">Nota 22.2; FRE seção 8</x:t>
  </x:si>
  <x:si>
    <x:t xml:space="preserve">Diferença &gt; CT ou divergência com o aprovado</x:t>
  </x:si>
  <x:si>
    <x:t xml:space="preserve">F0003 p.25; F0053</x:t>
  </x:si>
  <x:si>
    <x:t xml:space="preserve">Executado [RP] (PT 550): 17.537 confere</x:t>
  </x:si>
  <x:si>
    <x:t xml:space="preserve">DIS-01</x:t>
  </x:si>
  <x:si>
    <x:t xml:space="preserve">R10</x:t>
  </x:si>
  <x:si>
    <x:t xml:space="preserve">Caixa e aplicações</x:t>
  </x:si>
  <x:si>
    <x:t xml:space="preserve">Existência; direitos</x:t>
  </x:si>
  <x:si>
    <x:t xml:space="preserve">F0003 p.23</x:t>
  </x:si>
  <x:si>
    <x:t xml:space="preserve">PG-DISP</x:t>
  </x:si>
  <x:si>
    <x:t xml:space="preserve">Confirmar saldos bancários e de aplicações</x:t>
  </x:si>
  <x:si>
    <x:t xml:space="preserve">Instituições com saldo ≥ ME</x:t>
  </x:si>
  <x:si>
    <x:t xml:space="preserve">Contas da nota 6.4–6.5</x:t>
  </x:si>
  <x:si>
    <x:t xml:space="preserve">Divergência &gt; CT</x:t>
  </x:si>
  <x:si>
    <x:t xml:space="preserve">Respostas dos bancos</x:t>
  </x:si>
  <x:si>
    <x:t xml:space="preserve">Minuta M505-01/02 preparada – NÃO ENVIADA (PT 505)</x:t>
  </x:si>
  <x:si>
    <x:t xml:space="preserve">DIS-02</x:t>
  </x:si>
  <x:si>
    <x:t xml:space="preserve">Exatidão; apresentação</x:t>
  </x:si>
  <x:si>
    <x:t xml:space="preserve">Conciliar o caixa do BP com a DFC e a nota 6.4</x:t>
  </x:si>
  <x:si>
    <x:t xml:space="preserve">BP, DFC, nota 6.4 (dados reais)</x:t>
  </x:si>
  <x:si>
    <x:t xml:space="preserve">F0003 p.23 e DFC</x:t>
  </x:si>
  <x:si>
    <x:t xml:space="preserve">ESQ-01</x:t>
  </x:si>
  <x:si>
    <x:t xml:space="preserve">R13</x:t>
  </x:si>
  <x:si>
    <x:t xml:space="preserve">Estoques</x:t>
  </x:si>
  <x:si>
    <x:t xml:space="preserve">Existência</x:t>
  </x:si>
  <x:si>
    <x:t xml:space="preserve">PG-EST</x:t>
  </x:si>
  <x:si>
    <x:t xml:space="preserve">Observação / inspeção</x:t>
  </x:si>
  <x:si>
    <x:t xml:space="preserve">Final (data-base)</x:t>
  </x:si>
  <x:si>
    <x:t xml:space="preserve">Almoxarifados (não identificados publicamente)</x:t>
  </x:si>
  <x:si>
    <x:t xml:space="preserve">Diferença de contagem &gt; CT</x:t>
  </x:si>
  <x:si>
    <x:t xml:space="preserve">Contagem</x:t>
  </x:si>
  <x:si>
    <x:t xml:space="preserve">PT 501</x:t>
  </x:si>
  <x:si>
    <x:t xml:space="preserve">ESQ-02</x:t>
  </x:si>
  <x:si>
    <x:t xml:space="preserve">Analisar a variação (−28,6%) e a classificação circulante/LP</x:t>
  </x:si>
  <x:si>
    <x:t xml:space="preserve">Analítico</x:t>
  </x:si>
  <x:si>
    <x:t xml:space="preserve">Saldo global</x:t>
  </x:si>
  <x:si>
    <x:t xml:space="preserve">BP 2025 × 2024 (dados reais)</x:t>
  </x:si>
  <x:si>
    <x:t xml:space="preserve">Variação sem explicação &gt; ME</x:t>
  </x:si>
  <x:si>
    <x:t xml:space="preserve">Executado [RP] (PT 501): −28,6%; BP × DFC = 0; sem nota de estoques (P53)</x:t>
  </x:si>
  <x:si>
    <x:t xml:space="preserve">IMO-01</x:t>
  </x:si>
  <x:si>
    <x:t xml:space="preserve">R14</x:t>
  </x:si>
  <x:si>
    <x:t xml:space="preserve">Imobilizado e intangível</x:t>
  </x:si>
  <x:si>
    <x:t xml:space="preserve">Existência; avaliação</x:t>
  </x:si>
  <x:si>
    <x:t xml:space="preserve">PG-IMOB</x:t>
  </x:si>
  <x:si>
    <x:t xml:space="preserve">Analítico de adições, depreciação e amortização contra a taxa média</x:t>
  </x:si>
  <x:si>
    <x:t xml:space="preserve">Notas 10.1–10.2</x:t>
  </x:si>
  <x:si>
    <x:t xml:space="preserve">F0003 notas 10</x:t>
  </x:si>
  <x:si>
    <x:t xml:space="preserve">IMO-02</x:t>
  </x:si>
  <x:si>
    <x:t xml:space="preserve">R08</x:t>
  </x:si>
  <x:si>
    <x:t xml:space="preserve">Investimentos (equivalência)</x:t>
  </x:si>
  <x:si>
    <x:t xml:space="preserve">F0003 p.23, 25, nota 7</x:t>
  </x:si>
  <x:si>
    <x:t xml:space="preserve">Recalcular a equivalência: participação × resultado e PL das investidas</x:t>
  </x:si>
  <x:si>
    <x:t xml:space="preserve">Investidas com investimento ≥ ME</x:t>
  </x:si>
  <x:si>
    <x:t xml:space="preserve">Nota 7.2–7.3</x:t>
  </x:si>
  <x:si>
    <x:t xml:space="preserve">F0003 p.59–60, nota 7</x:t>
  </x:si>
  <x:si>
    <x:t xml:space="preserve">PT 600</x:t>
  </x:si>
  <x:si>
    <x:t xml:space="preserve">IMO-03</x:t>
  </x:si>
  <x:si>
    <x:t xml:space="preserve">Obter as DFs auditadas das controladas em conjunto e avaliar o trabalho dos seus auditores</x:t>
  </x:si>
  <x:si>
    <x:t xml:space="preserve">Investidas ≥ ME</x:t>
  </x:si>
  <x:si>
    <x:t xml:space="preserve">Controladas em conjunto (5)</x:t>
  </x:si>
  <x:si>
    <x:t xml:space="preserve">Ressalva ou ajuste não refletido</x:t>
  </x:si>
  <x:si>
    <x:t xml:space="preserve">DFs das investidas</x:t>
  </x:si>
  <x:si>
    <x:t xml:space="preserve">CON-01</x:t>
  </x:si>
  <x:si>
    <x:t xml:space="preserve">R19</x:t>
  </x:si>
  <x:si>
    <x:t xml:space="preserve">Processo de consolidação e equivalência de JVs</x:t>
  </x:si>
  <x:si>
    <x:t xml:space="preserve">Exatidão; integridade</x:t>
  </x:si>
  <x:si>
    <x:t xml:space="preserve">F0003 p.40–41, 59–62; F0258–F0279</x:t>
  </x:si>
  <x:si>
    <x:t xml:space="preserve">PG-CONS</x:t>
  </x:si>
  <x:si>
    <x:t xml:space="preserve">Conciliar DFs dos componentes com o consolidado: ativo da concessão (C1), PL e não controladores (C2), equivalência (C3–C5)</x:t>
  </x:si>
  <x:si>
    <x:t xml:space="preserve">100% dos componentes</x:t>
  </x:si>
  <x:si>
    <x:t xml:space="preserve">DFs 2025 dos 16 controladas e 5 JVs (F0258–F0279)</x:t>
  </x:si>
  <x:si>
    <x:t xml:space="preserve">GRUPO_ISA_2025.xlsx, aba Conferencias_consolidacao</x:t>
  </x:si>
  <x:si>
    <x:t xml:space="preserve">Realizado com evidência pública (20/10/2026) – PT 600 §6.4</x:t>
  </x:si>
  <x:si>
    <x:t xml:space="preserve">CON-02</x:t>
  </x:si>
  <x:si>
    <x:t xml:space="preserve">Testar as eliminações (investimentos × PL, saldos e transações intragrupo – serviços de O&amp;M, sublocação e compartilhamento) e explicar o resíduo C6</x:t>
  </x:si>
  <x:si>
    <x:t xml:space="preserve">Todas as eliminações ≥ CT</x:t>
  </x:si>
  <x:si>
    <x:t xml:space="preserve">Pacote de consolidação (indisponível)</x:t>
  </x:si>
  <x:si>
    <x:t xml:space="preserve">Eliminação sem contrapartida ou resíduo não explicado &gt; CT</x:t>
  </x:si>
  <x:si>
    <x:t xml:space="preserve">Pacote de consolidação; notas de partes relacionadas dos componentes</x:t>
  </x:si>
  <x:si>
    <x:t xml:space="preserve">PT 600 / PT 550</x:t>
  </x:si>
  <x:si>
    <x:t xml:space="preserve">CON-03</x:t>
  </x:si>
  <x:si>
    <x:t xml:space="preserve">Recalcular a realização das mais-valias de aquisição (IEMG, Evrecy, IESul: R$ 2.960 mil em 2025)</x:t>
  </x:si>
  <x:si>
    <x:t xml:space="preserve">Nota 7.2–7.3 (F0003 p.60, 62)</x:t>
  </x:si>
  <x:si>
    <x:t xml:space="preserve">Laudos de alocação (indisponíveis) e nota 7</x:t>
  </x:si>
  <x:si>
    <x:t xml:space="preserve">CON-04</x:t>
  </x:si>
  <x:si>
    <x:t xml:space="preserve">Ler as DFs auditadas das 5 JVs e recalcular a equivalência (lucro × participação) e os dividendos recebidos (R$ 711.033 mil)</x:t>
  </x:si>
  <x:si>
    <x:t xml:space="preserve">100% das JVs</x:t>
  </x:si>
  <x:si>
    <x:t xml:space="preserve">F0258, F0259, F0266, F0278, F0279; F0003 p.61</x:t>
  </x:si>
  <x:si>
    <x:t xml:space="preserve">Diferença &gt; CT; ressalva ou ênfase nos relatórios</x:t>
  </x:si>
  <x:si>
    <x:t xml:space="preserve">Relatórios dos auditores das JVs (sem modificação)</x:t>
  </x:si>
  <x:si>
    <x:t xml:space="preserve">CON-05</x:t>
  </x:si>
  <x:si>
    <x:t xml:space="preserve">Solicitar ao auditor da IE Madeira e das demais JVs as informações do it. 45 da NBC TA 600 (R2) (modelo didático, não enviado)</x:t>
  </x:si>
  <x:si>
    <x:t xml:space="preserve">Comunicação</x:t>
  </x:si>
  <x:si>
    <x:t xml:space="preserve">Planejamento / final</x:t>
  </x:si>
  <x:si>
    <x:t xml:space="preserve">JVs com equivalência ≥ ME (Madeira) e demais por julgamento</x:t>
  </x:si>
  <x:si>
    <x:t xml:space="preserve">Auditores dos componentes</x:t>
  </x:si>
  <x:si>
    <x:t xml:space="preserve">Ausência de resposta = limitação</x:t>
  </x:si>
  <x:si>
    <x:t xml:space="preserve">Modelo MODELO_INSTRUCOES_COMPONENTE.md</x:t>
  </x:si>
  <x:si>
    <x:t xml:space="preserve">[SD]/[PA]</x:t>
  </x:si>
  <x:si>
    <x:t xml:space="preserve">CON-06</x:t>
  </x:si>
  <x:si>
    <x:t xml:space="preserve">R18</x:t>
  </x:si>
  <x:si>
    <x:t xml:space="preserve">Fundos consolidados e não controladores</x:t>
  </x:si>
  <x:si>
    <x:t xml:space="preserve">F0003 p.24, 40</x:t>
  </x:si>
  <x:si>
    <x:t xml:space="preserve">Confirmar cotas e valor da cota dos 4 fundos com os administradores e recalcular a participação de não controladores (R$ 285.544 mil)</x:t>
  </x:si>
  <x:si>
    <x:t xml:space="preserve">100% dos fundos</x:t>
  </x:si>
  <x:si>
    <x:t xml:space="preserve">Fundos Bandeirantes, Xavantes, Assis, Barra Bonita</x:t>
  </x:si>
  <x:si>
    <x:t xml:space="preserve">Respostas dos administradores (não obtidas)</x:t>
  </x:si>
  <x:si>
    <x:t xml:space="preserve">PT 402 / PT 505</x:t>
  </x:si>
  <x:si>
    <x:t xml:space="preserve">CON-07</x:t>
  </x:si>
  <x:si>
    <x:t xml:space="preserve">Separar eventos de 2026 (descruzamento Madeira/Garanhuns: CCVA 19/03/2026, conclusão 31/07/2026) da posição de 31/12/2025 e avaliar divulgação (data das DFs 24/02/2026)</x:t>
  </x:si>
  <x:si>
    <x:t xml:space="preserve">Final / posterior</x:t>
  </x:si>
  <x:si>
    <x:t xml:space="preserve">Fatos relevantes de 2026</x:t>
  </x:si>
  <x:si>
    <x:t xml:space="preserve">F0102, F0121; F0003 p.122</x:t>
  </x:si>
  <x:si>
    <x:t xml:space="preserve">Evento tratado como se fosse de 2025</x:t>
  </x:si>
  <x:si>
    <x:t xml:space="preserve">Fatos relevantes</x:t>
  </x:si>
  <x:si>
    <x:t xml:space="preserve">GER-01</x:t>
  </x:si>
  <x:si>
    <x:t xml:space="preserve">Nível DF</x:t>
  </x:si>
  <x:si>
    <x:t xml:space="preserve">Nível das DFs</x:t>
  </x:si>
  <x:si>
    <x:t xml:space="preserve">—</x:t>
  </x:si>
  <x:si>
    <x:t xml:space="preserve">PT 315</x:t>
  </x:si>
  <x:si>
    <x:t xml:space="preserve">Geral (PT 330)</x:t>
  </x:si>
  <x:si>
    <x:t xml:space="preserve">Reforçar o ceticismo; designar responsável por estimativas e receita</x:t>
  </x:si>
  <x:si>
    <x:t xml:space="preserve">Resposta geral</x:t>
  </x:si>
  <x:si>
    <x:t xml:space="preserve">Planejamento</x:t>
  </x:si>
  <x:si>
    <x:t xml:space="preserve">PT 220 / este papel</x:t>
  </x:si>
  <x:si>
    <x:t xml:space="preserve">PT 330</x:t>
  </x:si>
  <x:si>
    <x:t xml:space="preserve">GER-02</x:t>
  </x:si>
  <x:si>
    <x:t xml:space="preserve">R16</x:t>
  </x:si>
  <x:si>
    <x:t xml:space="preserve">Burla de controles (nível DF)</x:t>
  </x:si>
  <x:si>
    <x:t xml:space="preserve">Todas</x:t>
  </x:si>
  <x:si>
    <x:t xml:space="preserve">NBC TA 240; F0003 p.136</x:t>
  </x:si>
  <x:si>
    <x:t xml:space="preserve">Testar lançamentos manuais e de fim de período (critérios do PT 240 §4, proc. 3)</x:t>
  </x:si>
  <x:si>
    <x:t xml:space="preserve">Critérios: ≥ CT, de 26/12 a 15/01, usuários e contas incomuns</x:t>
  </x:si>
  <x:si>
    <x:t xml:space="preserve">Base sintética</x:t>
  </x:si>
  <x:si>
    <x:t xml:space="preserve">Lançamento sem suporte ou fora do padrão</x:t>
  </x:si>
  <x:si>
    <x:t xml:space="preserve">Suporte do lançamento</x:t>
  </x:si>
  <x:si>
    <x:t xml:space="preserve">PT 240 / PT 530</x:t>
  </x:si>
  <x:si>
    <x:t xml:space="preserve">GER-03</x:t>
  </x:si>
  <x:si>
    <x:t xml:space="preserve">Revisar as estimativas quanto a viés (retrospectiva)</x:t>
  </x:si>
  <x:si>
    <x:t xml:space="preserve">Análise</x:t>
  </x:si>
  <x:si>
    <x:t xml:space="preserve">R01, R05, R07, R09</x:t>
  </x:si>
  <x:si>
    <x:t xml:space="preserve">Notas de 2024 × 2025</x:t>
  </x:si>
  <x:si>
    <x:t xml:space="preserve">Viés unidirecional</x:t>
  </x:si>
  <x:si>
    <x:t xml:space="preserve">Notas</x:t>
  </x:si>
  <x:si>
    <x:t xml:space="preserve">Executado [RP] (PT 540 §6.1, §6.4): sem indício de viés</x:t>
  </x:si>
  <x:si>
    <x:t xml:space="preserve">GER-04</x:t>
  </x:si>
  <x:si>
    <x:t xml:space="preserve">Analisar transações significativas incomuns (RTP de 2024; aquisições de 2026)</x:t>
  </x:si>
  <x:si>
    <x:t xml:space="preserve">Transações ≥ ME fora do curso normal</x:t>
  </x:si>
  <x:si>
    <x:t xml:space="preserve">F0003 p.12; eventos de 2026</x:t>
  </x:si>
  <x:si>
    <x:t xml:space="preserve">Falta de racional de negócio</x:t>
  </x:si>
  <x:si>
    <x:t xml:space="preserve">Atos, fatos relevantes</x:t>
  </x:si>
  <x:si>
    <x:t xml:space="preserve">GER-05</x:t>
  </x:si>
  <x:si>
    <x:t xml:space="preserve">Encerramento: confrontar DFs × razão (it. 20). Parte pública já feita: PDF × CVM, 552/552 sem diferença (B02)</x:t>
  </x:si>
  <x:si>
    <x:t xml:space="preserve">DFs e razão geral</x:t>
  </x:si>
  <x:si>
    <x:t xml:space="preserve">Diferença</x:t>
  </x:si>
  <x:si>
    <x:t xml:space="preserve">Razão (sem acesso) / CVM</x:t>
  </x:si>
  <x:si>
    <x:t xml:space="preserve">[PA]/[RP]</x:t>
  </x:si>
  <x:si>
    <x:t xml:space="preserve">GER-07</x:t>
  </x:si>
  <x:si>
    <x:t xml:space="preserve">Avaliar a consolidação dos 4 fundos e a participação de não controladores (285.544)</x:t>
  </x:si>
  <x:si>
    <x:t xml:space="preserve">Nota 2.5; DFs dos fundos (P13)</x:t>
  </x:si>
  <x:si>
    <x:t xml:space="preserve">Critério de controle não sustentado</x:t>
  </x:si>
  <x:si>
    <x:t xml:space="preserve">GER-06</x:t>
  </x:si>
  <x:si>
    <x:t xml:space="preserve">Imprevisibilidade</x:t>
  </x:si>
  <x:si>
    <x:t xml:space="preserve">Incluir itens abaixo da ME e datas fora do padrão nas amostras</x:t>
  </x:si>
  <x:si>
    <x:t xml:space="preserve">≥ 5 itens imprevisíveis por teste</x:t>
  </x:si>
  <x:si>
    <x:t xml:space="preserve">Procedimentos</x:t>
  </x:si>
  <x:si>
    <x:t xml:space="preserve">Riscos da matriz do PT 315 sem resposta</x:t>
  </x:si>
  <x:si>
    <x:t xml:space="preserve">Procedimentos "Realizado com evidência pública"</x:t>
  </x:si>
  <x:si>
    <x:t xml:space="preserve">Ciclo</x:t>
  </x:si>
  <x:si>
    <x:t xml:space="preserve">Riscos cobertos</x:t>
  </x:si>
  <x:si>
    <x:t xml:space="preserve">Nº procedimentos</x:t>
  </x:si>
  <x:si>
    <x:t xml:space="preserve">Fundamento da extensão / aplicabilidade</x:t>
  </x:si>
  <x:si>
    <x:t xml:space="preserve">Receitas</x:t>
  </x:si>
  <x:si>
    <x:t xml:space="preserve">R02, R03, R04</x:t>
  </x:si>
  <x:si>
    <x:t xml:space="preserve">Estimativas</x:t>
  </x:si>
  <x:si>
    <x:t xml:space="preserve">R01, R05, R07, R09, R17</x:t>
  </x:si>
  <x:si>
    <x:t xml:space="preserve">Extensão ampla. Dois riscos significativos (R01: 36.431.298, 262× a MG; R05: 2.760.806, 20× a MG) com incerteza e subjetividade elevadas (F0003 p.39, p.135–136). Os procedimentos detalhados ficam no PT 540.</x:t>
  </x:si>
  <x:si>
    <x:t xml:space="preserve">Passivos</x:t>
  </x:si>
  <x:si>
    <x:t xml:space="preserve">R06, R11, R12, R15</x:t>
  </x:si>
  <x:si>
    <x:t xml:space="preserve">Extensão moderada, ampliada para covenants. A dívida de 15.951.713 é 115× a MG, com RI alto e não significativo: três emissões padronizadas em 2025 (F0003 p.13). Em 20/10/2026 a leitura da nota 6.2 mostrou que o indicador Dívida Líquida/EBITDA Ajustado do BNDES ficou acima do contratual em 2025, com anuência obtida em nov/2025 (F0003 p.54). Por isso foi incluído o PAS-06 (classificação e divulgação). O corte de fornecedores está ligado ao R02.</x:t>
  </x:si>
  <x:si>
    <x:t xml:space="preserve">Disponibilidades</x:t>
  </x:si>
  <x:si>
    <x:t xml:space="preserve">Extensão proporcional (reduzida). O saldo de 167.575 é só 1,2× a MG, e o RI é baixo: materiais para obras e manutenção (F0003 p.23). Há analítico e acompanhamento de contagem só nos locais ≥ ME. Não há testes de custo detalhados.</x:t>
  </x:si>
  <x:si>
    <x:t xml:space="preserve">Imobilizado e investimentos</x:t>
  </x:si>
  <x:si>
    <x:t xml:space="preserve">R14, R08</x:t>
  </x:si>
  <x:si>
    <x:t xml:space="preserve">Extensão reduzida para o imobilizado. Na transmissão, a infraestrutura é ativo contratual (CPC 47 / ICPC 01), coberto pelos PG-REC e PG-ESTIM. O imobilizado é de 180.126 (0,4% do ativo) e, com o intangível, soma 616.359 (F0003 p.23). Os investimentos de 4.154.815 (equivalência de 511.049) recebem recálculo, por serem materiais.</x:t>
  </x:si>
  <x:si>
    <x:t xml:space="preserve">Consolidação e grupo (PT 600)</x:t>
  </x:si>
  <x:si>
    <x:t xml:space="preserve">R19, R08, R18</x:t>
  </x:si>
  <x:si>
    <x:t xml:space="preserve">Extensão moderada, centralizada no auditor do grupo. As controladas (100%) usam serviços compartilhados da ISA (F0261 p.32), o que favorece testes centralizados. As 5 JVs entram por equivalência (R$ 4.154.815 mil; 511.049 no resultado), e a IE Madeira responde por 48% dessa equivalência (F0003 p.61). As conferências públicas C1–C5 fecharam; o resíduo C6 (R$ 30.907 mil) exige o pacote de consolidação [PA]. Programa acrescentado pelo Bloco 05 (PT 600), além dos 6 ciclos do enunciado.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</x:si>
</x:sst>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1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4" fillId="2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D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82da5ce8947f9" /><Relationship Type="http://schemas.openxmlformats.org/officeDocument/2006/relationships/theme" Target="/xl/theme/theme1.xml" Id="R5df8a07629b6460d" /><Relationship Type="http://schemas.openxmlformats.org/officeDocument/2006/relationships/sharedStrings" Target="/xl/sharedStrings.xml" Id="R32bf60fd0fee4896" /><Relationship Type="http://schemas.openxmlformats.org/officeDocument/2006/relationships/worksheet" Target="/xl/worksheets/sheet1.xml" Id="R8760a5dd2733416f" /><Relationship Type="http://schemas.openxmlformats.org/officeDocument/2006/relationships/worksheet" Target="/xl/worksheets/sheet2.xml" Id="R0537cd570cec4d2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9" width="20" style="1" hidden="0" customWidth="1"/>
    <x:col min="10" max="10" width="55" style="1" hidden="0" customWidth="1"/>
    <x:col min="11" max="19" width="20" style="1" hidden="0" customWidth="1"/>
  </x:cols>
  <x:sheetData>
    <x:row r="1" ht="36" hidden="0" customHeight="1">
      <x:c r="A1" s="5" t="inlineStr">
        <x:is>
          <x:t xml:space="preserve">Matriz de riscos e respostas — atualização de coerência em 23/10/2026; MG 139.000 ME 90.000 CT 7.000, R$ mil. Histórico B08 preservado.</x:t>
        </x:is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6" hidden="0" customHeight="1">
      <x:c r="A2" s="5" t="s">
        <x:v>0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15" hidden="0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15" hidden="0" customHeight="1">
      <x:c r="A4" s="6" t="s">
        <x:v>1</x:v>
      </x:c>
      <x:c r="B4" s="6" t="s">
        <x:v>2</x:v>
      </x:c>
      <x:c r="C4" s="6" t="s">
        <x:v>3</x:v>
      </x:c>
      <x:c r="D4" s="6" t="s">
        <x:v>4</x:v>
      </x:c>
      <x:c r="E4" s="6" t="s">
        <x:v>5</x:v>
      </x:c>
      <x:c r="F4" s="6" t="s">
        <x:v>6</x:v>
      </x:c>
      <x:c r="G4" s="6" t="s">
        <x:v>7</x:v>
      </x:c>
      <x:c r="H4" s="6" t="s">
        <x:v>8</x:v>
      </x:c>
      <x:c r="I4" s="6" t="s">
        <x:v>9</x:v>
      </x:c>
      <x:c r="J4" s="6" t="s">
        <x:v>10</x:v>
      </x:c>
      <x:c r="K4" s="6" t="s">
        <x:v>11</x:v>
      </x:c>
      <x:c r="L4" s="6" t="s">
        <x:v>12</x:v>
      </x:c>
      <x:c r="M4" s="6" t="s">
        <x:v>13</x:v>
      </x:c>
      <x:c r="N4" s="6" t="s">
        <x:v>14</x:v>
      </x:c>
      <x:c r="O4" s="6" t="s">
        <x:v>15</x:v>
      </x:c>
      <x:c r="P4" s="6" t="s">
        <x:v>16</x:v>
      </x:c>
      <x:c r="Q4" s="6" t="s">
        <x:v>17</x:v>
      </x:c>
      <x:c r="R4" s="6" t="s">
        <x:v>18</x:v>
      </x:c>
      <x:c r="S4" s="6" t="s">
        <x:v>19</x:v>
      </x:c>
    </x:row>
    <x:row r="5" ht="140" hidden="0" customHeight="1">
      <x:c r="A5" s="5" t="s">
        <x:v>20</x:v>
      </x:c>
      <x:c r="B5" s="5" t="s">
        <x:v>21</x:v>
      </x:c>
      <x:c r="C5" s="5" t="s">
        <x:v>22</x:v>
      </x:c>
      <x:c r="D5" s="5" t="s">
        <x:v>23</x:v>
      </x:c>
      <x:c r="E5" s="5" t="s">
        <x:v>24</x:v>
      </x:c>
      <x:c r="F5" s="5" t="s">
        <x:v>25</x:v>
      </x:c>
      <x:c r="G5" s="5" t="s">
        <x:v>26</x:v>
      </x:c>
      <x:c r="H5" s="5" t="s">
        <x:v>27</x:v>
      </x:c>
      <x:c r="I5" s="5" t="s">
        <x:v>28</x:v>
      </x:c>
      <x:c r="J5" s="5" t="inlineStr">
        <x:is>
          <x:t xml:space="preserve">Conferir atributos sintéticos de suporte, vínculo de obra, recálculo, datas e aprovação (TD-01/MUS); não inspeciona documentos autênticos.</x:t>
        </x:is>
      </x:c>
      <x:c r="K5" s="5" t="s">
        <x:v>30</x:v>
      </x:c>
      <x:c r="L5" s="5" t="s">
        <x:v>31</x:v>
      </x:c>
      <x:c r="M5" s="5" t="inlineStr">
        <x:is>
          <x:t xml:space="preserve">Triagem de 269.265 itens positivos; excluir 302 específicos; examinar 1 item ≥ intervalo J e selecionar 710 por MUS no restante (PT530).</x:t>
        </x:is>
      </x:c>
      <x:c r="N5" s="5" t="inlineStr">
        <x:is>
          <x:t xml:space="preserve">Débitos positivos de infraestrutura de 2025, base TESTE B07 (D-019–D-021); negativos/estornos tratados à parte.</x:t>
        </x:is>
      </x:c>
      <x:c r="O5" s="5" t="inlineStr">
        <x:is>
          <x:t xml:space="preserve">Falhas nos atributos A1–A5 e regras TD-01; projeção restrita aos atributos sintéticos testados.</x:t>
        </x:is>
      </x:c>
      <x:c r="P5" s="5" t="inlineStr">
        <x:is>
          <x:t xml:space="preserve">Campos da base, cadastros e vínculos sintéticos; não são medições/contratos originais.</x:t>
        </x:is>
      </x:c>
      <x:c r="Q5" s="5" t="s">
        <x:v>36</x:v>
      </x:c>
      <x:c r="R5" s="5" t="s">
        <x:v>37</x:v>
      </x:c>
      <x:c r="S5" s="5" t="s">
        <x:v>38</x:v>
      </x:c>
    </x:row>
    <x:row r="6" ht="140" hidden="0" customHeight="1">
      <x:c r="A6" s="5" t="s">
        <x:v>39</x:v>
      </x:c>
      <x:c r="B6" s="5" t="s">
        <x:v>21</x:v>
      </x:c>
      <x:c r="C6" s="5" t="s">
        <x:v>22</x:v>
      </x:c>
      <x:c r="D6" s="5" t="s">
        <x:v>40</x:v>
      </x:c>
      <x:c r="E6" s="5" t="s">
        <x:v>24</x:v>
      </x:c>
      <x:c r="F6" s="5" t="s">
        <x:v>25</x:v>
      </x:c>
      <x:c r="G6" s="5" t="s">
        <x:v>26</x:v>
      </x:c>
      <x:c r="H6" s="5" t="s">
        <x:v>27</x:v>
      </x:c>
      <x:c r="I6" s="5" t="s">
        <x:v>28</x:v>
      </x:c>
      <x:c r="J6" s="5" t="inlineStr">
        <x:is>
          <x:t xml:space="preserve">Conferir documentos anteriores a 2025 em débitos positivos de infraestrutura de 2025 (R5) e receitas de jan–fev/2026 com documento até 31/12/2025 (TD-03).</x:t>
        </x:is>
      </x:c>
      <x:c r="K6" s="5" t="s">
        <x:v>30</x:v>
      </x:c>
      <x:c r="L6" s="5" t="s">
        <x:v>31</x:v>
      </x:c>
      <x:c r="M6" s="5" t="inlineStr">
        <x:is>
          <x:t xml:space="preserve">100% das populações descritas, sem filtro por CT; exame dos estornos de provisões em separado.</x:t>
        </x:is>
      </x:c>
      <x:c r="N6" s="5" t="inlineStr">
        <x:is>
          <x:t xml:space="preserve">P1 de 2025 (R5) e RECEITA_INFRA de jan–fev/2026 com data de documento preenchida (TD-03), base TESTE.</x:t>
        </x:is>
      </x:c>
      <x:c r="O6" s="5" t="s">
        <x:v>44</x:v>
      </x:c>
      <x:c r="P6" s="5" t="s">
        <x:v>45</x:v>
      </x:c>
      <x:c r="Q6" s="5" t="s">
        <x:v>36</x:v>
      </x:c>
      <x:c r="R6" s="5" t="s">
        <x:v>46</x:v>
      </x:c>
      <x:c r="S6" s="5" t="s">
        <x:v>38</x:v>
      </x:c>
    </x:row>
    <x:row r="7" ht="26.399999618530273" hidden="0" customHeight="1">
      <x:c r="A7" s="5" t="s">
        <x:v>47</x:v>
      </x:c>
      <x:c r="B7" s="5" t="s">
        <x:v>21</x:v>
      </x:c>
      <x:c r="C7" s="5" t="s">
        <x:v>22</x:v>
      </x:c>
      <x:c r="D7" s="5" t="s">
        <x:v>40</x:v>
      </x:c>
      <x:c r="E7" s="5" t="s">
        <x:v>24</x:v>
      </x:c>
      <x:c r="F7" s="5" t="s">
        <x:v>25</x:v>
      </x:c>
      <x:c r="G7" s="5" t="s">
        <x:v>26</x:v>
      </x:c>
      <x:c r="H7" s="5" t="s">
        <x:v>27</x:v>
      </x:c>
      <x:c r="I7" s="5" t="s">
        <x:v>28</x:v>
      </x:c>
      <x:c r="J7" s="5" t="s">
        <x:v>48</x:v>
      </x:c>
      <x:c r="K7" s="5" t="s">
        <x:v>49</x:v>
      </x:c>
      <x:c r="L7" s="5" t="s">
        <x:v>31</x:v>
      </x:c>
      <x:c r="M7" s="5" t="s">
        <x:v>50</x:v>
      </x:c>
      <x:c r="N7" s="5" t="s">
        <x:v>51</x:v>
      </x:c>
      <x:c r="O7" s="5" t="s">
        <x:v>52</x:v>
      </x:c>
      <x:c r="P7" s="5" t="s">
        <x:v>53</x:v>
      </x:c>
      <x:c r="Q7" s="5" t="s">
        <x:v>54</x:v>
      </x:c>
      <x:c r="R7" s="5" t="s">
        <x:v>55</x:v>
      </x:c>
      <x:c r="S7" s="5" t="s">
        <x:v>56</x:v>
      </x:c>
    </x:row>
    <x:row r="8" ht="105.5999984741211" hidden="0" customHeight="1">
      <x:c r="A8" s="5" t="s">
        <x:v>57</x:v>
      </x:c>
      <x:c r="B8" s="5" t="s">
        <x:v>58</x:v>
      </x:c>
      <x:c r="C8" s="5" t="s">
        <x:v>59</x:v>
      </x:c>
      <x:c r="D8" s="5" t="s">
        <x:v>60</x:v>
      </x:c>
      <x:c r="E8" s="5" t="s">
        <x:v>61</x:v>
      </x:c>
      <x:c r="F8" s="5" t="s">
        <x:v>25</x:v>
      </x:c>
      <x:c r="G8" s="5" t="str">
        <x:v>Sim (V12-01 validada em 22/10/2026)</x:v>
      </x:c>
      <x:c r="H8" s="5" t="s">
        <x:v>27</x:v>
      </x:c>
      <x:c r="I8" s="5" t="s">
        <x:v>28</x:v>
      </x:c>
      <x:c r="J8" s="5" t="str">
        <x:v>Análise global pública para planejamento; testar detalhes por contrato: termos autênticos, principal, taxa, índice, período, rastreamento, integridade, ocorrência, corte e autorização/burla.</x:v>
      </x:c>
      <x:c r="K8" s="5" t="str">
        <x:v>Analítico de planejamento [RP]; teste de detalhes [PA]</x:v>
      </x:c>
      <x:c r="L8" s="5" t="s">
        <x:v>31</x:v>
      </x:c>
      <x:c r="M8" s="5" t="str">
        <x:v>Expectativa global sem precisão substantiva demonstrada. Seleção e extensão dos detalhes dependem de população real, risco e materialidade; não fixadas ficticiamente.</x:v>
      </x:c>
      <x:c r="N8" s="5" t="str">
        <x:v>Notas públicas na análise; contratos, razão e suportes reais ainda não obtidos.</x:v>
      </x:c>
      <x:c r="O8" s="5" t="str">
        <x:v>Divergência contratual, dado incompleto, corte ou suporte ausente: investigar; não aceitar globalmente por diferença &lt;= ME.</x:v>
      </x:c>
      <x:c r="P8" s="5" t="str">
        <x:v>F0003 notas5/16; contratos autênticos e suportes para o teste real [PA]. TD-05 não substitui contrato.</x:v>
      </x:c>
      <x:c r="Q8" s="5" t="str">
        <x:v>[RP]/[PA]</x:v>
      </x:c>
      <x:c r="R8" s="5" t="str">
        <x:v>PT 520/540/500; resposta no PT330</x:v>
      </x:c>
      <x:c r="S8" s="5" t="str">
        <x:v>Análise pública documentada apenas para planejamento; teste de detalhes contratual não executado [PA].</x:v>
      </x:c>
    </x:row>
    <x:row r="9" ht="26.399999618530273" hidden="0" customHeight="1">
      <x:c r="A9" s="5" t="s">
        <x:v>62</x:v>
      </x:c>
      <x:c r="B9" s="5" t="s">
        <x:v>63</x:v>
      </x:c>
      <x:c r="C9" s="5" t="s">
        <x:v>64</x:v>
      </x:c>
      <x:c r="D9" s="5" t="s">
        <x:v>65</x:v>
      </x:c>
      <x:c r="E9" s="5" t="s">
        <x:v>66</x:v>
      </x:c>
      <x:c r="F9" s="5" t="s">
        <x:v>25</x:v>
      </x:c>
      <x:c r="G9" s="5" t="s">
        <x:v>67</x:v>
      </x:c>
      <x:c r="H9" s="5" t="s">
        <x:v>68</x:v>
      </x:c>
      <x:c r="I9" s="5" t="s">
        <x:v>28</x:v>
      </x:c>
      <x:c r="J9" s="5" t="s">
        <x:v>69</x:v>
      </x:c>
      <x:c r="K9" s="5" t="s">
        <x:v>70</x:v>
      </x:c>
      <x:c r="L9" s="5" t="s">
        <x:v>31</x:v>
      </x:c>
      <x:c r="M9" s="5" t="s">
        <x:v>71</x:v>
      </x:c>
      <x:c r="N9" s="5" t="s">
        <x:v>72</x:v>
      </x:c>
      <x:c r="O9" s="5" t="s">
        <x:v>73</x:v>
      </x:c>
      <x:c r="P9" s="5" t="s">
        <x:v>74</x:v>
      </x:c>
      <x:c r="Q9" s="5" t="s">
        <x:v>54</x:v>
      </x:c>
      <x:c r="R9" s="5" t="s">
        <x:v>75</x:v>
      </x:c>
      <x:c r="S9" s="5" t="s">
        <x:v>56</x:v>
      </x:c>
    </x:row>
    <x:row r="10" ht="26.399999618530273" hidden="0" customHeight="1">
      <x:c r="A10" s="5" t="s">
        <x:v>76</x:v>
      </x:c>
      <x:c r="B10" s="5" t="s">
        <x:v>21</x:v>
      </x:c>
      <x:c r="C10" s="5" t="s">
        <x:v>22</x:v>
      </x:c>
      <x:c r="D10" s="5" t="s">
        <x:v>77</x:v>
      </x:c>
      <x:c r="E10" s="5" t="s">
        <x:v>24</x:v>
      </x:c>
      <x:c r="F10" s="5" t="s">
        <x:v>25</x:v>
      </x:c>
      <x:c r="G10" s="5" t="s">
        <x:v>26</x:v>
      </x:c>
      <x:c r="H10" s="5" t="s">
        <x:v>27</x:v>
      </x:c>
      <x:c r="I10" s="5" t="s">
        <x:v>28</x:v>
      </x:c>
      <x:c r="J10" s="5" t="s">
        <x:v>78</x:v>
      </x:c>
      <x:c r="K10" s="5" t="s">
        <x:v>79</x:v>
      </x:c>
      <x:c r="L10" s="5" t="s">
        <x:v>31</x:v>
      </x:c>
      <x:c r="M10" s="5" t="s">
        <x:v>80</x:v>
      </x:c>
      <x:c r="N10" s="5" t="s">
        <x:v>81</x:v>
      </x:c>
      <x:c r="O10" s="5" t="s">
        <x:v>82</x:v>
      </x:c>
      <x:c r="P10" s="5" t="s">
        <x:v>83</x:v>
      </x:c>
      <x:c r="Q10" s="5" t="s">
        <x:v>84</x:v>
      </x:c>
      <x:c r="R10" s="5" t="s">
        <x:v>85</x:v>
      </x:c>
      <x:c r="S10" s="5" t="s">
        <x:v>56</x:v>
      </x:c>
    </x:row>
    <x:row r="11" ht="39.599998474121094" hidden="0" customHeight="1">
      <x:c r="A11" s="5" t="s">
        <x:v>86</x:v>
      </x:c>
      <x:c r="B11" s="5" t="s">
        <x:v>87</x:v>
      </x:c>
      <x:c r="C11" s="5" t="s">
        <x:v>88</x:v>
      </x:c>
      <x:c r="D11" s="5" t="s">
        <x:v>89</x:v>
      </x:c>
      <x:c r="E11" s="5" t="s">
        <x:v>24</x:v>
      </x:c>
      <x:c r="F11" s="5" t="s">
        <x:v>25</x:v>
      </x:c>
      <x:c r="G11" s="5" t="s">
        <x:v>26</x:v>
      </x:c>
      <x:c r="H11" s="5" t="s">
        <x:v>90</x:v>
      </x:c>
      <x:c r="I11" s="5" t="s">
        <x:v>91</x:v>
      </x:c>
      <x:c r="J11" s="5" t="s">
        <x:v>92</x:v>
      </x:c>
      <x:c r="K11" s="5" t="s">
        <x:v>93</x:v>
      </x:c>
      <x:c r="L11" s="5" t="s">
        <x:v>31</x:v>
      </x:c>
      <x:c r="M11" s="5" t="s">
        <x:v>94</x:v>
      </x:c>
      <x:c r="N11" s="5" t="s">
        <x:v>95</x:v>
      </x:c>
      <x:c r="O11" s="5" t="s">
        <x:v>96</x:v>
      </x:c>
      <x:c r="P11" s="5" t="s">
        <x:v>97</x:v>
      </x:c>
      <x:c r="Q11" s="5" t="s">
        <x:v>84</x:v>
      </x:c>
      <x:c r="R11" s="5" t="s">
        <x:v>98</x:v>
      </x:c>
      <x:c r="S11" s="5" t="s">
        <x:v>99</x:v>
      </x:c>
    </x:row>
    <x:row r="12" ht="140" hidden="0" customHeight="1">
      <x:c r="A12" s="5" t="s">
        <x:v>100</x:v>
      </x:c>
      <x:c r="B12" s="5" t="s">
        <x:v>87</x:v>
      </x:c>
      <x:c r="C12" s="5" t="s">
        <x:v>88</x:v>
      </x:c>
      <x:c r="D12" s="5" t="s">
        <x:v>101</x:v>
      </x:c>
      <x:c r="E12" s="5" t="s">
        <x:v>24</x:v>
      </x:c>
      <x:c r="F12" s="5" t="s">
        <x:v>25</x:v>
      </x:c>
      <x:c r="G12" s="5" t="s">
        <x:v>26</x:v>
      </x:c>
      <x:c r="H12" s="5" t="s">
        <x:v>90</x:v>
      </x:c>
      <x:c r="I12" s="5" t="s">
        <x:v>91</x:v>
      </x:c>
      <x:c r="J12" s="5" t="inlineStr">
        <x:is>
          <x:t xml:space="preserve">Recalcular a consistência interna da remuneração pela taxa/fator modal por contrato e componente (TD-05); não valida o fluxo contratual independente.</x:t>
        </x:is>
      </x:c>
      <x:c r="K12" s="5" t="s">
        <x:v>79</x:v>
      </x:c>
      <x:c r="L12" s="5" t="s">
        <x:v>31</x:v>
      </x:c>
      <x:c r="M12" s="5" t="inlineStr">
        <x:is>
          <x:t xml:space="preserve">100% das linhas REMUNERACAO com base_calculo_brl preenchida; sem seleção por ME.</x:t>
        </x:is>
      </x:c>
      <x:c r="N12" s="5" t="s">
        <x:v>104</x:v>
      </x:c>
      <x:c r="O12" s="5" t="inlineStr">
        <x:is>
          <x:t xml:space="preserve">Taxa diferente da modal ou diferença superior à tolerância monetária de PARAMETROS_B08.json; avaliação agregada no PT450.</x:t>
        </x:is>
      </x:c>
      <x:c r="P12" s="5" t="inlineStr">
        <x:is>
          <x:t xml:space="preserve">Campos sintéticos de base, valor e taxa; fator modal derivado da própria população.</x:t>
        </x:is>
      </x:c>
      <x:c r="Q12" s="5" t="s">
        <x:v>36</x:v>
      </x:c>
      <x:c r="R12" s="5" t="s">
        <x:v>107</x:v>
      </x:c>
      <x:c r="S12" s="5" t="s">
        <x:v>38</x:v>
      </x:c>
    </x:row>
    <x:row r="13" ht="39.599998474121094" hidden="0" customHeight="1">
      <x:c r="A13" s="5" t="s">
        <x:v>108</x:v>
      </x:c>
      <x:c r="B13" s="5" t="s">
        <x:v>109</x:v>
      </x:c>
      <x:c r="C13" s="5" t="s">
        <x:v>110</x:v>
      </x:c>
      <x:c r="D13" s="5" t="s">
        <x:v>111</x:v>
      </x:c>
      <x:c r="E13" s="5" t="s">
        <x:v>112</x:v>
      </x:c>
      <x:c r="F13" s="5" t="s">
        <x:v>25</x:v>
      </x:c>
      <x:c r="G13" s="5" t="s">
        <x:v>67</x:v>
      </x:c>
      <x:c r="H13" s="5" t="s">
        <x:v>113</x:v>
      </x:c>
      <x:c r="I13" s="5" t="s">
        <x:v>91</x:v>
      </x:c>
      <x:c r="J13" s="5" t="s">
        <x:v>114</x:v>
      </x:c>
      <x:c r="K13" s="5" t="s">
        <x:v>49</x:v>
      </x:c>
      <x:c r="L13" s="5" t="s">
        <x:v>31</x:v>
      </x:c>
      <x:c r="M13" s="5" t="s">
        <x:v>115</x:v>
      </x:c>
      <x:c r="N13" s="5" t="s">
        <x:v>116</x:v>
      </x:c>
      <x:c r="O13" s="5" t="s">
        <x:v>117</x:v>
      </x:c>
      <x:c r="P13" s="5" t="s">
        <x:v>118</x:v>
      </x:c>
      <x:c r="Q13" s="5" t="s">
        <x:v>84</x:v>
      </x:c>
      <x:c r="R13" s="5" t="s">
        <x:v>98</x:v>
      </x:c>
      <x:c r="S13" s="5" t="s">
        <x:v>119</x:v>
      </x:c>
    </x:row>
    <x:row r="14" ht="39.599998474121094" hidden="0" customHeight="1">
      <x:c r="A14" s="5" t="s">
        <x:v>120</x:v>
      </x:c>
      <x:c r="B14" s="5" t="s">
        <x:v>121</x:v>
      </x:c>
      <x:c r="C14" s="5" t="s">
        <x:v>122</x:v>
      </x:c>
      <x:c r="D14" s="5" t="s">
        <x:v>123</x:v>
      </x:c>
      <x:c r="E14" s="5" t="s">
        <x:v>24</x:v>
      </x:c>
      <x:c r="F14" s="5" t="s">
        <x:v>25</x:v>
      </x:c>
      <x:c r="G14" s="5" t="s">
        <x:v>26</x:v>
      </x:c>
      <x:c r="H14" s="5" t="s">
        <x:v>124</x:v>
      </x:c>
      <x:c r="I14" s="5" t="s">
        <x:v>91</x:v>
      </x:c>
      <x:c r="J14" s="5" t="s">
        <x:v>125</x:v>
      </x:c>
      <x:c r="K14" s="5" t="s">
        <x:v>126</x:v>
      </x:c>
      <x:c r="L14" s="5" t="s">
        <x:v>31</x:v>
      </x:c>
      <x:c r="M14" s="5" t="s">
        <x:v>80</x:v>
      </x:c>
      <x:c r="N14" s="5" t="s">
        <x:v>127</x:v>
      </x:c>
      <x:c r="O14" s="5" t="s">
        <x:v>128</x:v>
      </x:c>
      <x:c r="P14" s="5" t="s">
        <x:v>124</x:v>
      </x:c>
      <x:c r="Q14" s="5" t="s">
        <x:v>84</x:v>
      </x:c>
      <x:c r="R14" s="5" t="s">
        <x:v>98</x:v>
      </x:c>
      <x:c r="S14" s="5" t="s">
        <x:v>56</x:v>
      </x:c>
    </x:row>
    <x:row r="15" ht="52.79999923706055" hidden="0" customHeight="1">
      <x:c r="A15" s="5" t="s">
        <x:v>129</x:v>
      </x:c>
      <x:c r="B15" s="5" t="s">
        <x:v>121</x:v>
      </x:c>
      <x:c r="C15" s="5" t="s">
        <x:v>122</x:v>
      </x:c>
      <x:c r="D15" s="5" t="s">
        <x:v>89</x:v>
      </x:c>
      <x:c r="E15" s="5" t="s">
        <x:v>24</x:v>
      </x:c>
      <x:c r="F15" s="5" t="s">
        <x:v>25</x:v>
      </x:c>
      <x:c r="G15" s="5" t="s">
        <x:v>26</x:v>
      </x:c>
      <x:c r="H15" s="5" t="s">
        <x:v>124</x:v>
      </x:c>
      <x:c r="I15" s="5" t="s">
        <x:v>91</x:v>
      </x:c>
      <x:c r="J15" s="5" t="s">
        <x:v>130</x:v>
      </x:c>
      <x:c r="K15" s="5" t="s">
        <x:v>131</x:v>
      </x:c>
      <x:c r="L15" s="5" t="s">
        <x:v>31</x:v>
      </x:c>
      <x:c r="M15" s="5" t="s">
        <x:v>132</x:v>
      </x:c>
      <x:c r="N15" s="5" t="s">
        <x:v>133</x:v>
      </x:c>
      <x:c r="O15" s="5" t="s">
        <x:v>134</x:v>
      </x:c>
      <x:c r="P15" s="5" t="s">
        <x:v>135</x:v>
      </x:c>
      <x:c r="Q15" s="5" t="s">
        <x:v>54</x:v>
      </x:c>
      <x:c r="R15" s="5" t="s">
        <x:v>136</x:v>
      </x:c>
      <x:c r="S15" s="5" t="s">
        <x:v>137</x:v>
      </x:c>
    </x:row>
    <x:row r="16" ht="26.399999618530273" hidden="0" customHeight="1">
      <x:c r="A16" s="5" t="s">
        <x:v>138</x:v>
      </x:c>
      <x:c r="B16" s="5" t="s">
        <x:v>139</x:v>
      </x:c>
      <x:c r="C16" s="5" t="s">
        <x:v>140</x:v>
      </x:c>
      <x:c r="D16" s="5" t="s">
        <x:v>60</x:v>
      </x:c>
      <x:c r="E16" s="5" t="s">
        <x:v>66</x:v>
      </x:c>
      <x:c r="F16" s="5" t="s">
        <x:v>25</x:v>
      </x:c>
      <x:c r="G16" s="5" t="s">
        <x:v>67</x:v>
      </x:c>
      <x:c r="H16" s="5" t="s">
        <x:v>141</x:v>
      </x:c>
      <x:c r="I16" s="5" t="s">
        <x:v>91</x:v>
      </x:c>
      <x:c r="J16" s="5" t="s">
        <x:v>142</x:v>
      </x:c>
      <x:c r="K16" s="5" t="s">
        <x:v>143</x:v>
      </x:c>
      <x:c r="L16" s="5" t="s">
        <x:v>31</x:v>
      </x:c>
      <x:c r="M16" s="5" t="s">
        <x:v>144</x:v>
      </x:c>
      <x:c r="N16" s="5" t="s">
        <x:v>145</x:v>
      </x:c>
      <x:c r="O16" s="5" t="s">
        <x:v>146</x:v>
      </x:c>
      <x:c r="P16" s="5" t="s">
        <x:v>147</x:v>
      </x:c>
      <x:c r="Q16" s="5" t="s">
        <x:v>84</x:v>
      </x:c>
      <x:c r="R16" s="5" t="s">
        <x:v>148</x:v>
      </x:c>
      <x:c r="S16" s="5" t="s">
        <x:v>56</x:v>
      </x:c>
    </x:row>
    <x:row r="17" ht="52.79999923706055" hidden="0" customHeight="1">
      <x:c r="A17" s="5" t="s">
        <x:v>149</x:v>
      </x:c>
      <x:c r="B17" s="5" t="s">
        <x:v>150</x:v>
      </x:c>
      <x:c r="C17" s="5" t="s">
        <x:v>151</x:v>
      </x:c>
      <x:c r="D17" s="5" t="s">
        <x:v>152</x:v>
      </x:c>
      <x:c r="E17" s="5" t="s">
        <x:v>66</x:v>
      </x:c>
      <x:c r="F17" s="5" t="s">
        <x:v>25</x:v>
      </x:c>
      <x:c r="G17" s="5" t="s">
        <x:v>67</x:v>
      </x:c>
      <x:c r="H17" s="5" t="s">
        <x:v>153</x:v>
      </x:c>
      <x:c r="I17" s="5" t="s">
        <x:v>91</x:v>
      </x:c>
      <x:c r="J17" s="5" t="s">
        <x:v>154</x:v>
      </x:c>
      <x:c r="K17" s="5" t="s">
        <x:v>155</x:v>
      </x:c>
      <x:c r="L17" s="5" t="s">
        <x:v>31</x:v>
      </x:c>
      <x:c r="M17" s="5" t="s">
        <x:v>156</x:v>
      </x:c>
      <x:c r="N17" s="5" t="s">
        <x:v>157</x:v>
      </x:c>
      <x:c r="O17" s="5" t="s">
        <x:v>158</x:v>
      </x:c>
      <x:c r="P17" s="5" t="s">
        <x:v>159</x:v>
      </x:c>
      <x:c r="Q17" s="5" t="s">
        <x:v>160</x:v>
      </x:c>
      <x:c r="R17" s="5" t="s">
        <x:v>161</x:v>
      </x:c>
      <x:c r="S17" s="5" t="s">
        <x:v>162</x:v>
      </x:c>
    </x:row>
    <x:row r="18" ht="26.399999618530273" hidden="0" customHeight="1">
      <x:c r="A18" s="5" t="s">
        <x:v>163</x:v>
      </x:c>
      <x:c r="B18" s="5" t="s">
        <x:v>164</x:v>
      </x:c>
      <x:c r="C18" s="5" t="s">
        <x:v>165</x:v>
      </x:c>
      <x:c r="D18" s="5" t="s">
        <x:v>166</x:v>
      </x:c>
      <x:c r="E18" s="5" t="s">
        <x:v>61</x:v>
      </x:c>
      <x:c r="F18" s="5" t="s">
        <x:v>25</x:v>
      </x:c>
      <x:c r="G18" s="5" t="s">
        <x:v>67</x:v>
      </x:c>
      <x:c r="H18" s="5" t="s">
        <x:v>167</x:v>
      </x:c>
      <x:c r="I18" s="5" t="s">
        <x:v>168</x:v>
      </x:c>
      <x:c r="J18" s="5" t="s">
        <x:v>169</x:v>
      </x:c>
      <x:c r="K18" s="5" t="s">
        <x:v>79</x:v>
      </x:c>
      <x:c r="L18" s="5" t="s">
        <x:v>31</x:v>
      </x:c>
      <x:c r="M18" s="5" t="s">
        <x:v>170</x:v>
      </x:c>
      <x:c r="N18" s="5" t="s">
        <x:v>171</x:v>
      </x:c>
      <x:c r="O18" s="5" t="s">
        <x:v>82</x:v>
      </x:c>
      <x:c r="P18" s="5" t="s">
        <x:v>172</x:v>
      </x:c>
      <x:c r="Q18" s="5" t="s">
        <x:v>84</x:v>
      </x:c>
      <x:c r="R18" s="5" t="s">
        <x:v>85</x:v>
      </x:c>
      <x:c r="S18" s="5" t="s">
        <x:v>56</x:v>
      </x:c>
    </x:row>
    <x:row r="19" ht="140" hidden="0" customHeight="1">
      <x:c r="A19" s="5" t="s">
        <x:v>173</x:v>
      </x:c>
      <x:c r="B19" s="5" t="s">
        <x:v>164</x:v>
      </x:c>
      <x:c r="C19" s="5" t="s">
        <x:v>165</x:v>
      </x:c>
      <x:c r="D19" s="5" t="s">
        <x:v>174</x:v>
      </x:c>
      <x:c r="E19" s="5" t="s">
        <x:v>61</x:v>
      </x:c>
      <x:c r="F19" s="5" t="s">
        <x:v>25</x:v>
      </x:c>
      <x:c r="G19" s="5" t="s">
        <x:v>67</x:v>
      </x:c>
      <x:c r="H19" s="5" t="s">
        <x:v>167</x:v>
      </x:c>
      <x:c r="I19" s="5" t="s">
        <x:v>168</x:v>
      </x:c>
      <x:c r="J19" s="5" t="s">
        <x:v>175</x:v>
      </x:c>
      <x:c r="K19" s="5" t="s">
        <x:v>176</x:v>
      </x:c>
      <x:c r="L19" s="5" t="s">
        <x:v>31</x:v>
      </x:c>
      <x:c r="M19" s="5" t="inlineStr">
        <x:is>
          <x:t xml:space="preserve">100% das séries e contratos nos grupos selecionados no PT505 (D-027); confirmação permanece planejada.</x:t>
        </x:is>
      </x:c>
      <x:c r="N19" s="5" t="s">
        <x:v>178</x:v>
      </x:c>
      <x:c r="O19" s="5" t="s">
        <x:v>179</x:v>
      </x:c>
      <x:c r="P19" s="5" t="s">
        <x:v>180</x:v>
      </x:c>
      <x:c r="Q19" s="5" t="s">
        <x:v>54</x:v>
      </x:c>
      <x:c r="R19" s="5" t="s">
        <x:v>181</x:v>
      </x:c>
      <x:c r="S19" s="5" t="s">
        <x:v>182</x:v>
      </x:c>
    </x:row>
    <x:row r="20" ht="140" hidden="0" customHeight="1">
      <x:c r="A20" s="5" t="s">
        <x:v>183</x:v>
      </x:c>
      <x:c r="B20" s="5" t="s">
        <x:v>164</x:v>
      </x:c>
      <x:c r="C20" s="5" t="s">
        <x:v>165</x:v>
      </x:c>
      <x:c r="D20" s="5" t="s">
        <x:v>184</x:v>
      </x:c>
      <x:c r="E20" s="5" t="s">
        <x:v>61</x:v>
      </x:c>
      <x:c r="F20" s="5" t="s">
        <x:v>25</x:v>
      </x:c>
      <x:c r="G20" s="5" t="s">
        <x:v>67</x:v>
      </x:c>
      <x:c r="H20" s="5" t="s">
        <x:v>167</x:v>
      </x:c>
      <x:c r="I20" s="5" t="s">
        <x:v>168</x:v>
      </x:c>
      <x:c r="J20" s="5" t="inlineStr">
        <x:is>
          <x:t xml:space="preserve">Avaliar termos, alcance e vigência da anuência de nov/2025 e o direito de diferir liquidação em 31/12/2025 (CPC26.69(d),72A–72B,74–75); confrontar notas 6.2 e 23.</x:t>
        </x:is>
      </x:c>
      <x:c r="K20" s="5" t="s">
        <x:v>186</x:v>
      </x:c>
      <x:c r="L20" s="5" t="s">
        <x:v>31</x:v>
      </x:c>
      <x:c r="M20" s="5" t="s">
        <x:v>187</x:v>
      </x:c>
      <x:c r="N20" s="5" t="s">
        <x:v>188</x:v>
      </x:c>
      <x:c r="O20" s="5" t="inlineStr">
        <x:is>
          <x:t xml:space="preserve">Direito de diferir não demonstrado, restrições na anuência ou divulgação contraditória; a data anterior isolada não resolve a classificação.</x:t>
        </x:is>
      </x:c>
      <x:c r="P20" s="5" t="s">
        <x:v>190</x:v>
      </x:c>
      <x:c r="Q20" s="5" t="s">
        <x:v>160</x:v>
      </x:c>
      <x:c r="R20" s="5" t="s">
        <x:v>191</x:v>
      </x:c>
      <x:c r="S20" s="5" t="inlineStr">
        <x:is>
          <x:t xml:space="preserve">Leitura pública realizada; classificação não comprovada sem termos da carta [PA]. Indicador ≈4,0× é indicativo; P21/P52 permanecem.</x:t>
        </x:is>
      </x:c>
    </x:row>
    <x:row r="21" ht="26.399999618530273" hidden="0" customHeight="1">
      <x:c r="A21" s="5" t="s">
        <x:v>193</x:v>
      </x:c>
      <x:c r="B21" s="5" t="s">
        <x:v>194</x:v>
      </x:c>
      <x:c r="C21" s="5" t="s">
        <x:v>195</x:v>
      </x:c>
      <x:c r="D21" s="5" t="s">
        <x:v>196</x:v>
      </x:c>
      <x:c r="E21" s="5" t="s">
        <x:v>66</x:v>
      </x:c>
      <x:c r="F21" s="5" t="s">
        <x:v>25</x:v>
      </x:c>
      <x:c r="G21" s="5" t="s">
        <x:v>67</x:v>
      </x:c>
      <x:c r="H21" s="5" t="s">
        <x:v>197</x:v>
      </x:c>
      <x:c r="I21" s="5" t="s">
        <x:v>168</x:v>
      </x:c>
      <x:c r="J21" s="5" t="s">
        <x:v>198</x:v>
      </x:c>
      <x:c r="K21" s="5" t="s">
        <x:v>30</x:v>
      </x:c>
      <x:c r="L21" s="5" t="s">
        <x:v>31</x:v>
      </x:c>
      <x:c r="M21" s="5" t="s">
        <x:v>199</x:v>
      </x:c>
      <x:c r="N21" s="5" t="s">
        <x:v>200</x:v>
      </x:c>
      <x:c r="O21" s="5" t="s">
        <x:v>201</x:v>
      </x:c>
      <x:c r="P21" s="5" t="s">
        <x:v>202</x:v>
      </x:c>
      <x:c r="Q21" s="5" t="s">
        <x:v>36</x:v>
      </x:c>
      <x:c r="R21" s="5" t="s">
        <x:v>203</x:v>
      </x:c>
      <x:c r="S21" s="5" t="s">
        <x:v>56</x:v>
      </x:c>
    </x:row>
    <x:row r="22" ht="39.599998474121094" hidden="0" customHeight="1">
      <x:c r="A22" s="5" t="s">
        <x:v>204</x:v>
      </x:c>
      <x:c r="B22" s="5" t="s">
        <x:v>205</x:v>
      </x:c>
      <x:c r="C22" s="5" t="s">
        <x:v>206</x:v>
      </x:c>
      <x:c r="D22" s="5" t="s">
        <x:v>207</x:v>
      </x:c>
      <x:c r="E22" s="5" t="s">
        <x:v>66</x:v>
      </x:c>
      <x:c r="F22" s="5" t="s">
        <x:v>25</x:v>
      </x:c>
      <x:c r="G22" s="5" t="s">
        <x:v>67</x:v>
      </x:c>
      <x:c r="H22" s="5" t="s">
        <x:v>208</x:v>
      </x:c>
      <x:c r="I22" s="5" t="s">
        <x:v>168</x:v>
      </x:c>
      <x:c r="J22" s="5" t="s">
        <x:v>209</x:v>
      </x:c>
      <x:c r="K22" s="5" t="s">
        <x:v>49</x:v>
      </x:c>
      <x:c r="L22" s="5" t="s">
        <x:v>31</x:v>
      </x:c>
      <x:c r="M22" s="5" t="s">
        <x:v>80</x:v>
      </x:c>
      <x:c r="N22" s="5" t="s">
        <x:v>210</x:v>
      </x:c>
      <x:c r="O22" s="5" t="s">
        <x:v>211</x:v>
      </x:c>
      <x:c r="P22" s="5" t="s">
        <x:v>212</x:v>
      </x:c>
      <x:c r="Q22" s="5" t="s">
        <x:v>84</x:v>
      </x:c>
      <x:c r="R22" s="5" t="s">
        <x:v>213</x:v>
      </x:c>
      <x:c r="S22" s="5" t="s">
        <x:v>214</x:v>
      </x:c>
    </x:row>
    <x:row r="23" ht="39.599998474121094" hidden="0" customHeight="1">
      <x:c r="A23" s="5" t="s">
        <x:v>215</x:v>
      </x:c>
      <x:c r="B23" s="5" t="s">
        <x:v>216</x:v>
      </x:c>
      <x:c r="C23" s="5" t="s">
        <x:v>217</x:v>
      </x:c>
      <x:c r="D23" s="5" t="s">
        <x:v>111</x:v>
      </x:c>
      <x:c r="E23" s="5" t="s">
        <x:v>218</x:v>
      </x:c>
      <x:c r="F23" s="5" t="s">
        <x:v>25</x:v>
      </x:c>
      <x:c r="G23" s="5" t="s">
        <x:v>67</x:v>
      </x:c>
      <x:c r="H23" s="5" t="s">
        <x:v>219</x:v>
      </x:c>
      <x:c r="I23" s="5" t="s">
        <x:v>168</x:v>
      </x:c>
      <x:c r="J23" s="5" t="s">
        <x:v>220</x:v>
      </x:c>
      <x:c r="K23" s="5" t="s">
        <x:v>221</x:v>
      </x:c>
      <x:c r="L23" s="5" t="s">
        <x:v>31</x:v>
      </x:c>
      <x:c r="M23" s="5" t="s">
        <x:v>80</x:v>
      </x:c>
      <x:c r="N23" s="5" t="s">
        <x:v>222</x:v>
      </x:c>
      <x:c r="O23" s="5" t="s">
        <x:v>223</x:v>
      </x:c>
      <x:c r="P23" s="5" t="s">
        <x:v>224</x:v>
      </x:c>
      <x:c r="Q23" s="5" t="s">
        <x:v>84</x:v>
      </x:c>
      <x:c r="R23" s="5" t="s">
        <x:v>213</x:v>
      </x:c>
      <x:c r="S23" s="5" t="s">
        <x:v>225</x:v>
      </x:c>
    </x:row>
    <x:row r="24" ht="140" hidden="0" customHeight="1">
      <x:c r="A24" s="5" t="s">
        <x:v>226</x:v>
      </x:c>
      <x:c r="B24" s="5" t="s">
        <x:v>227</x:v>
      </x:c>
      <x:c r="C24" s="5" t="s">
        <x:v>228</x:v>
      </x:c>
      <x:c r="D24" s="5" t="s">
        <x:v>229</x:v>
      </x:c>
      <x:c r="E24" s="5" t="s">
        <x:v>218</x:v>
      </x:c>
      <x:c r="F24" s="5" t="s">
        <x:v>25</x:v>
      </x:c>
      <x:c r="G24" s="5" t="s">
        <x:v>67</x:v>
      </x:c>
      <x:c r="H24" s="5" t="s">
        <x:v>230</x:v>
      </x:c>
      <x:c r="I24" s="5" t="s">
        <x:v>231</x:v>
      </x:c>
      <x:c r="J24" s="5" t="s">
        <x:v>232</x:v>
      </x:c>
      <x:c r="K24" s="5" t="s">
        <x:v>131</x:v>
      </x:c>
      <x:c r="L24" s="5" t="s">
        <x:v>31</x:v>
      </x:c>
      <x:c r="M24" s="5" t="inlineStr">
        <x:is>
          <x:t xml:space="preserve">100% das instituições nos grupos de caixa/aplicações (PT505, D-027); confirmação não enviada.</x:t>
        </x:is>
      </x:c>
      <x:c r="N24" s="5" t="s">
        <x:v>234</x:v>
      </x:c>
      <x:c r="O24" s="5" t="s">
        <x:v>235</x:v>
      </x:c>
      <x:c r="P24" s="5" t="s">
        <x:v>236</x:v>
      </x:c>
      <x:c r="Q24" s="5" t="s">
        <x:v>54</x:v>
      </x:c>
      <x:c r="R24" s="5" t="s">
        <x:v>181</x:v>
      </x:c>
      <x:c r="S24" s="5" t="s">
        <x:v>237</x:v>
      </x:c>
    </x:row>
    <x:row r="25" ht="26.399999618530273" hidden="0" customHeight="1">
      <x:c r="A25" s="5" t="s">
        <x:v>238</x:v>
      </x:c>
      <x:c r="B25" s="5" t="s">
        <x:v>227</x:v>
      </x:c>
      <x:c r="C25" s="5" t="s">
        <x:v>228</x:v>
      </x:c>
      <x:c r="D25" s="5" t="s">
        <x:v>239</x:v>
      </x:c>
      <x:c r="E25" s="5" t="s">
        <x:v>218</x:v>
      </x:c>
      <x:c r="F25" s="5" t="s">
        <x:v>25</x:v>
      </x:c>
      <x:c r="G25" s="5" t="s">
        <x:v>67</x:v>
      </x:c>
      <x:c r="H25" s="5" t="s">
        <x:v>230</x:v>
      </x:c>
      <x:c r="I25" s="5" t="s">
        <x:v>231</x:v>
      </x:c>
      <x:c r="J25" s="5" t="s">
        <x:v>240</x:v>
      </x:c>
      <x:c r="K25" s="5" t="s">
        <x:v>79</x:v>
      </x:c>
      <x:c r="L25" s="5" t="s">
        <x:v>31</x:v>
      </x:c>
      <x:c r="M25" s="5" t="s">
        <x:v>80</x:v>
      </x:c>
      <x:c r="N25" s="5" t="s">
        <x:v>241</x:v>
      </x:c>
      <x:c r="O25" s="5" t="s">
        <x:v>82</x:v>
      </x:c>
      <x:c r="P25" s="5" t="s">
        <x:v>242</x:v>
      </x:c>
      <x:c r="Q25" s="5" t="s">
        <x:v>84</x:v>
      </x:c>
      <x:c r="R25" s="5" t="s">
        <x:v>85</x:v>
      </x:c>
      <x:c r="S25" s="5" t="s">
        <x:v>56</x:v>
      </x:c>
    </x:row>
    <x:row r="26" ht="79.19999694824219" hidden="0" customHeight="1">
      <x:c r="A26" s="5" t="s">
        <x:v>243</x:v>
      </x:c>
      <x:c r="B26" s="5" t="s">
        <x:v>244</x:v>
      </x:c>
      <x:c r="C26" s="5" t="s">
        <x:v>245</x:v>
      </x:c>
      <x:c r="D26" s="5" t="s">
        <x:v>246</x:v>
      </x:c>
      <x:c r="E26" s="5" t="s">
        <x:v>218</x:v>
      </x:c>
      <x:c r="F26" s="5" t="s">
        <x:v>25</x:v>
      </x:c>
      <x:c r="G26" s="5" t="s">
        <x:v>67</x:v>
      </x:c>
      <x:c r="H26" s="5" t="s">
        <x:v>230</x:v>
      </x:c>
      <x:c r="I26" s="5" t="s">
        <x:v>247</x:v>
      </x:c>
      <x:c r="J26" s="5" t="str">
        <x:v>Acompanhar a contagem nos locais com saldo ≥ CT (R$ 7 milhões); avaliar locais menores por risco e cobertura do saldo total</x:v>
      </x:c>
      <x:c r="K26" s="5" t="s">
        <x:v>248</x:v>
      </x:c>
      <x:c r="L26" s="5" t="s">
        <x:v>249</x:v>
      </x:c>
      <x:c r="M26" s="5" t="str">
        <x:v>Locais ≥ CT; avaliação dos menores e cobertura total</x:v>
      </x:c>
      <x:c r="N26" s="5" t="s">
        <x:v>250</x:v>
      </x:c>
      <x:c r="O26" s="5" t="s">
        <x:v>251</x:v>
      </x:c>
      <x:c r="P26" s="5" t="s">
        <x:v>252</x:v>
      </x:c>
      <x:c r="Q26" s="5" t="s">
        <x:v>54</x:v>
      </x:c>
      <x:c r="R26" s="5" t="s">
        <x:v>253</x:v>
      </x:c>
      <x:c r="S26" s="5" t="str">
        <x:v>Planejado [PA], sem contagem executada. RV23-V01: aluno validou CT de R$ 7 milhões e avaliação da cobertura restante em 23/10/2026.</x:v>
      </x:c>
    </x:row>
    <x:row r="27" ht="52.79999923706055" hidden="0" customHeight="1">
      <x:c r="A27" s="5" t="s">
        <x:v>254</x:v>
      </x:c>
      <x:c r="B27" s="5" t="s">
        <x:v>244</x:v>
      </x:c>
      <x:c r="C27" s="5" t="s">
        <x:v>245</x:v>
      </x:c>
      <x:c r="D27" s="5" t="s">
        <x:v>89</x:v>
      </x:c>
      <x:c r="E27" s="5" t="s">
        <x:v>218</x:v>
      </x:c>
      <x:c r="F27" s="5" t="s">
        <x:v>25</x:v>
      </x:c>
      <x:c r="G27" s="5" t="s">
        <x:v>67</x:v>
      </x:c>
      <x:c r="H27" s="5" t="s">
        <x:v>230</x:v>
      </x:c>
      <x:c r="I27" s="5" t="s">
        <x:v>247</x:v>
      </x:c>
      <x:c r="J27" s="5" t="s">
        <x:v>255</x:v>
      </x:c>
      <x:c r="K27" s="5" t="s">
        <x:v>256</x:v>
      </x:c>
      <x:c r="L27" s="5" t="s">
        <x:v>31</x:v>
      </x:c>
      <x:c r="M27" s="5" t="s">
        <x:v>257</x:v>
      </x:c>
      <x:c r="N27" s="5" t="s">
        <x:v>258</x:v>
      </x:c>
      <x:c r="O27" s="5" t="s">
        <x:v>259</x:v>
      </x:c>
      <x:c r="P27" s="5" t="s">
        <x:v>230</x:v>
      </x:c>
      <x:c r="Q27" s="5" t="s">
        <x:v>84</x:v>
      </x:c>
      <x:c r="R27" s="5" t="s">
        <x:v>148</x:v>
      </x:c>
      <x:c r="S27" s="5" t="s">
        <x:v>260</x:v>
      </x:c>
    </x:row>
    <x:row r="28" ht="15" hidden="0" customHeight="1">
      <x:c r="A28" s="5" t="s">
        <x:v>261</x:v>
      </x:c>
      <x:c r="B28" s="5" t="s">
        <x:v>262</x:v>
      </x:c>
      <x:c r="C28" s="5" t="s">
        <x:v>263</x:v>
      </x:c>
      <x:c r="D28" s="5" t="s">
        <x:v>264</x:v>
      </x:c>
      <x:c r="E28" s="5" t="s">
        <x:v>218</x:v>
      </x:c>
      <x:c r="F28" s="5" t="s">
        <x:v>25</x:v>
      </x:c>
      <x:c r="G28" s="5" t="s">
        <x:v>67</x:v>
      </x:c>
      <x:c r="H28" s="5" t="s">
        <x:v>230</x:v>
      </x:c>
      <x:c r="I28" s="5" t="s">
        <x:v>265</x:v>
      </x:c>
      <x:c r="J28" s="5" t="s">
        <x:v>266</x:v>
      </x:c>
      <x:c r="K28" s="5" t="s">
        <x:v>256</x:v>
      </x:c>
      <x:c r="L28" s="5" t="s">
        <x:v>31</x:v>
      </x:c>
      <x:c r="M28" s="5" t="s">
        <x:v>257</x:v>
      </x:c>
      <x:c r="N28" s="5" t="s">
        <x:v>267</x:v>
      </x:c>
      <x:c r="O28" s="5" t="s">
        <x:v>146</x:v>
      </x:c>
      <x:c r="P28" s="5" t="s">
        <x:v>268</x:v>
      </x:c>
      <x:c r="Q28" s="5" t="s">
        <x:v>84</x:v>
      </x:c>
      <x:c r="R28" s="5" t="s">
        <x:v>148</x:v>
      </x:c>
      <x:c r="S28" s="5" t="s">
        <x:v>56</x:v>
      </x:c>
    </x:row>
    <x:row r="29" ht="26.399999618530273" hidden="0" customHeight="1">
      <x:c r="A29" s="5" t="s">
        <x:v>269</x:v>
      </x:c>
      <x:c r="B29" s="5" t="s">
        <x:v>270</x:v>
      </x:c>
      <x:c r="C29" s="5" t="s">
        <x:v>271</x:v>
      </x:c>
      <x:c r="D29" s="5" t="s">
        <x:v>101</x:v>
      </x:c>
      <x:c r="E29" s="5" t="s">
        <x:v>66</x:v>
      </x:c>
      <x:c r="F29" s="5" t="s">
        <x:v>25</x:v>
      </x:c>
      <x:c r="G29" s="5" t="s">
        <x:v>67</x:v>
      </x:c>
      <x:c r="H29" s="5" t="s">
        <x:v>272</x:v>
      </x:c>
      <x:c r="I29" s="5" t="s">
        <x:v>265</x:v>
      </x:c>
      <x:c r="J29" s="5" t="s">
        <x:v>273</x:v>
      </x:c>
      <x:c r="K29" s="5" t="s">
        <x:v>79</x:v>
      </x:c>
      <x:c r="L29" s="5" t="s">
        <x:v>31</x:v>
      </x:c>
      <x:c r="M29" s="5" t="s">
        <x:v>274</x:v>
      </x:c>
      <x:c r="N29" s="5" t="s">
        <x:v>275</x:v>
      </x:c>
      <x:c r="O29" s="5" t="s">
        <x:v>82</x:v>
      </x:c>
      <x:c r="P29" s="5" t="s">
        <x:v>276</x:v>
      </x:c>
      <x:c r="Q29" s="5" t="s">
        <x:v>84</x:v>
      </x:c>
      <x:c r="R29" s="5" t="s">
        <x:v>277</x:v>
      </x:c>
      <x:c r="S29" s="5" t="s">
        <x:v>56</x:v>
      </x:c>
    </x:row>
    <x:row r="30" ht="26.399999618530273" hidden="0" customHeight="1">
      <x:c r="A30" s="5" t="s">
        <x:v>278</x:v>
      </x:c>
      <x:c r="B30" s="5" t="s">
        <x:v>270</x:v>
      </x:c>
      <x:c r="C30" s="5" t="s">
        <x:v>271</x:v>
      </x:c>
      <x:c r="D30" s="5" t="s">
        <x:v>89</x:v>
      </x:c>
      <x:c r="E30" s="5" t="s">
        <x:v>66</x:v>
      </x:c>
      <x:c r="F30" s="5" t="s">
        <x:v>25</x:v>
      </x:c>
      <x:c r="G30" s="5" t="s">
        <x:v>67</x:v>
      </x:c>
      <x:c r="H30" s="5" t="s">
        <x:v>272</x:v>
      </x:c>
      <x:c r="I30" s="5" t="s">
        <x:v>265</x:v>
      </x:c>
      <x:c r="J30" s="5" t="s">
        <x:v>279</x:v>
      </x:c>
      <x:c r="K30" s="5" t="s">
        <x:v>49</x:v>
      </x:c>
      <x:c r="L30" s="5" t="s">
        <x:v>31</x:v>
      </x:c>
      <x:c r="M30" s="5" t="s">
        <x:v>280</x:v>
      </x:c>
      <x:c r="N30" s="5" t="s">
        <x:v>281</x:v>
      </x:c>
      <x:c r="O30" s="5" t="s">
        <x:v>282</x:v>
      </x:c>
      <x:c r="P30" s="5" t="s">
        <x:v>283</x:v>
      </x:c>
      <x:c r="Q30" s="5" t="s">
        <x:v>54</x:v>
      </x:c>
      <x:c r="R30" s="5" t="s">
        <x:v>277</x:v>
      </x:c>
      <x:c r="S30" s="5" t="s">
        <x:v>56</x:v>
      </x:c>
    </x:row>
    <x:row r="31" ht="52.79999923706055" hidden="0" customHeight="1">
      <x:c r="A31" s="5" t="s">
        <x:v>284</x:v>
      </x:c>
      <x:c r="B31" s="5" t="s">
        <x:v>285</x:v>
      </x:c>
      <x:c r="C31" s="5" t="s">
        <x:v>286</x:v>
      </x:c>
      <x:c r="D31" s="5" t="s">
        <x:v>287</x:v>
      </x:c>
      <x:c r="E31" s="5" t="s">
        <x:v>66</x:v>
      </x:c>
      <x:c r="F31" s="5" t="s">
        <x:v>25</x:v>
      </x:c>
      <x:c r="G31" s="5" t="s">
        <x:v>67</x:v>
      </x:c>
      <x:c r="H31" s="5" t="s">
        <x:v>288</x:v>
      </x:c>
      <x:c r="I31" s="5" t="s">
        <x:v>289</x:v>
      </x:c>
      <x:c r="J31" s="5" t="s">
        <x:v>290</x:v>
      </x:c>
      <x:c r="K31" s="5" t="s">
        <x:v>79</x:v>
      </x:c>
      <x:c r="L31" s="5" t="s">
        <x:v>31</x:v>
      </x:c>
      <x:c r="M31" s="5" t="s">
        <x:v>291</x:v>
      </x:c>
      <x:c r="N31" s="5" t="s">
        <x:v>292</x:v>
      </x:c>
      <x:c r="O31" s="5" t="s">
        <x:v>82</x:v>
      </x:c>
      <x:c r="P31" s="5" t="s">
        <x:v>293</x:v>
      </x:c>
      <x:c r="Q31" s="5" t="s">
        <x:v>84</x:v>
      </x:c>
      <x:c r="R31" s="5" t="s">
        <x:v>277</x:v>
      </x:c>
      <x:c r="S31" s="5" t="s">
        <x:v>294</x:v>
      </x:c>
    </x:row>
    <x:row r="32" ht="52.79999923706055" hidden="0" customHeight="1">
      <x:c r="A32" s="5" t="s">
        <x:v>295</x:v>
      </x:c>
      <x:c r="B32" s="5" t="s">
        <x:v>285</x:v>
      </x:c>
      <x:c r="C32" s="5" t="s">
        <x:v>286</x:v>
      </x:c>
      <x:c r="D32" s="5" t="s">
        <x:v>239</x:v>
      </x:c>
      <x:c r="E32" s="5" t="s">
        <x:v>66</x:v>
      </x:c>
      <x:c r="F32" s="5" t="s">
        <x:v>25</x:v>
      </x:c>
      <x:c r="G32" s="5" t="s">
        <x:v>67</x:v>
      </x:c>
      <x:c r="H32" s="5" t="s">
        <x:v>288</x:v>
      </x:c>
      <x:c r="I32" s="5" t="s">
        <x:v>289</x:v>
      </x:c>
      <x:c r="J32" s="5" t="s">
        <x:v>296</x:v>
      </x:c>
      <x:c r="K32" s="5" t="s">
        <x:v>70</x:v>
      </x:c>
      <x:c r="L32" s="5" t="s">
        <x:v>31</x:v>
      </x:c>
      <x:c r="M32" s="5" t="s">
        <x:v>297</x:v>
      </x:c>
      <x:c r="N32" s="5" t="s">
        <x:v>298</x:v>
      </x:c>
      <x:c r="O32" s="5" t="s">
        <x:v>299</x:v>
      </x:c>
      <x:c r="P32" s="5" t="s">
        <x:v>300</x:v>
      </x:c>
      <x:c r="Q32" s="5" t="s">
        <x:v>54</x:v>
      </x:c>
      <x:c r="R32" s="5" t="s">
        <x:v>301</x:v>
      </x:c>
      <x:c r="S32" s="5" t="s">
        <x:v>56</x:v>
      </x:c>
    </x:row>
    <x:row r="33" ht="26.399999618530273" hidden="0" customHeight="1">
      <x:c r="A33" s="5" t="s">
        <x:v>302</x:v>
      </x:c>
      <x:c r="B33" s="5" t="s">
        <x:v>285</x:v>
      </x:c>
      <x:c r="C33" s="5" t="s">
        <x:v>286</x:v>
      </x:c>
      <x:c r="D33" s="5" t="s">
        <x:v>89</x:v>
      </x:c>
      <x:c r="E33" s="5" t="s">
        <x:v>66</x:v>
      </x:c>
      <x:c r="F33" s="5" t="s">
        <x:v>25</x:v>
      </x:c>
      <x:c r="G33" s="5" t="s">
        <x:v>67</x:v>
      </x:c>
      <x:c r="H33" s="5" t="s">
        <x:v>288</x:v>
      </x:c>
      <x:c r="I33" s="5" t="s">
        <x:v>289</x:v>
      </x:c>
      <x:c r="J33" s="5" t="s">
        <x:v>303</x:v>
      </x:c>
      <x:c r="K33" s="5" t="s">
        <x:v>79</x:v>
      </x:c>
      <x:c r="L33" s="5" t="s">
        <x:v>31</x:v>
      </x:c>
      <x:c r="M33" s="5" t="s">
        <x:v>80</x:v>
      </x:c>
      <x:c r="N33" s="5" t="s">
        <x:v>304</x:v>
      </x:c>
      <x:c r="O33" s="5" t="s">
        <x:v>82</x:v>
      </x:c>
      <x:c r="P33" s="5" t="s">
        <x:v>305</x:v>
      </x:c>
      <x:c r="Q33" s="5" t="s">
        <x:v>160</x:v>
      </x:c>
      <x:c r="R33" s="5" t="s">
        <x:v>277</x:v>
      </x:c>
      <x:c r="S33" s="5" t="s">
        <x:v>56</x:v>
      </x:c>
    </x:row>
    <x:row r="34" ht="39.599998474121094" hidden="0" customHeight="1">
      <x:c r="A34" s="5" t="s">
        <x:v>306</x:v>
      </x:c>
      <x:c r="B34" s="5" t="s">
        <x:v>270</x:v>
      </x:c>
      <x:c r="C34" s="5" t="s">
        <x:v>271</x:v>
      </x:c>
      <x:c r="D34" s="5" t="s">
        <x:v>101</x:v>
      </x:c>
      <x:c r="E34" s="5" t="s">
        <x:v>66</x:v>
      </x:c>
      <x:c r="F34" s="5" t="s">
        <x:v>25</x:v>
      </x:c>
      <x:c r="G34" s="5" t="s">
        <x:v>67</x:v>
      </x:c>
      <x:c r="H34" s="5" t="s">
        <x:v>272</x:v>
      </x:c>
      <x:c r="I34" s="5" t="s">
        <x:v>289</x:v>
      </x:c>
      <x:c r="J34" s="5" t="s">
        <x:v>307</x:v>
      </x:c>
      <x:c r="K34" s="5" t="s">
        <x:v>221</x:v>
      </x:c>
      <x:c r="L34" s="5" t="s">
        <x:v>31</x:v>
      </x:c>
      <x:c r="M34" s="5" t="s">
        <x:v>308</x:v>
      </x:c>
      <x:c r="N34" s="5" t="s">
        <x:v>309</x:v>
      </x:c>
      <x:c r="O34" s="5" t="s">
        <x:v>310</x:v>
      </x:c>
      <x:c r="P34" s="5" t="s">
        <x:v>311</x:v>
      </x:c>
      <x:c r="Q34" s="5" t="s">
        <x:v>84</x:v>
      </x:c>
      <x:c r="R34" s="5" t="s">
        <x:v>277</x:v>
      </x:c>
      <x:c r="S34" s="5" t="s">
        <x:v>294</x:v>
      </x:c>
    </x:row>
    <x:row r="35" ht="39.599998474121094" hidden="0" customHeight="1">
      <x:c r="A35" s="5" t="s">
        <x:v>312</x:v>
      </x:c>
      <x:c r="B35" s="5" t="s">
        <x:v>270</x:v>
      </x:c>
      <x:c r="C35" s="5" t="s">
        <x:v>271</x:v>
      </x:c>
      <x:c r="D35" s="5" t="s">
        <x:v>89</x:v>
      </x:c>
      <x:c r="E35" s="5" t="s">
        <x:v>66</x:v>
      </x:c>
      <x:c r="F35" s="5" t="s">
        <x:v>25</x:v>
      </x:c>
      <x:c r="G35" s="5" t="s">
        <x:v>67</x:v>
      </x:c>
      <x:c r="H35" s="5" t="s">
        <x:v>272</x:v>
      </x:c>
      <x:c r="I35" s="5" t="s">
        <x:v>289</x:v>
      </x:c>
      <x:c r="J35" s="5" t="s">
        <x:v>313</x:v>
      </x:c>
      <x:c r="K35" s="5" t="s">
        <x:v>314</x:v>
      </x:c>
      <x:c r="L35" s="5" t="s">
        <x:v>315</x:v>
      </x:c>
      <x:c r="M35" s="5" t="s">
        <x:v>316</x:v>
      </x:c>
      <x:c r="N35" s="5" t="s">
        <x:v>317</x:v>
      </x:c>
      <x:c r="O35" s="5" t="s">
        <x:v>318</x:v>
      </x:c>
      <x:c r="P35" s="5" t="s">
        <x:v>319</x:v>
      </x:c>
      <x:c r="Q35" s="5" t="s">
        <x:v>320</x:v>
      </x:c>
      <x:c r="R35" s="5" t="s">
        <x:v>277</x:v>
      </x:c>
      <x:c r="S35" s="5" t="s">
        <x:v>56</x:v>
      </x:c>
    </x:row>
    <x:row r="36" ht="39.599998474121094" hidden="0" customHeight="1">
      <x:c r="A36" s="5" t="s">
        <x:v>321</x:v>
      </x:c>
      <x:c r="B36" s="5" t="s">
        <x:v>322</x:v>
      </x:c>
      <x:c r="C36" s="5" t="s">
        <x:v>323</x:v>
      </x:c>
      <x:c r="D36" s="5" t="s">
        <x:v>174</x:v>
      </x:c>
      <x:c r="E36" s="5" t="s">
        <x:v>218</x:v>
      </x:c>
      <x:c r="F36" s="5" t="s">
        <x:v>25</x:v>
      </x:c>
      <x:c r="G36" s="5" t="s">
        <x:v>67</x:v>
      </x:c>
      <x:c r="H36" s="5" t="s">
        <x:v>324</x:v>
      </x:c>
      <x:c r="I36" s="5" t="s">
        <x:v>289</x:v>
      </x:c>
      <x:c r="J36" s="5" t="s">
        <x:v>325</x:v>
      </x:c>
      <x:c r="K36" s="5" t="s">
        <x:v>176</x:v>
      </x:c>
      <x:c r="L36" s="5" t="s">
        <x:v>31</x:v>
      </x:c>
      <x:c r="M36" s="5" t="s">
        <x:v>326</x:v>
      </x:c>
      <x:c r="N36" s="5" t="s">
        <x:v>327</x:v>
      </x:c>
      <x:c r="O36" s="5" t="s">
        <x:v>82</x:v>
      </x:c>
      <x:c r="P36" s="5" t="s">
        <x:v>328</x:v>
      </x:c>
      <x:c r="Q36" s="5" t="s">
        <x:v>54</x:v>
      </x:c>
      <x:c r="R36" s="5" t="s">
        <x:v>329</x:v>
      </x:c>
      <x:c r="S36" s="5" t="s">
        <x:v>56</x:v>
      </x:c>
    </x:row>
    <x:row r="37" ht="39.599998474121094" hidden="0" customHeight="1">
      <x:c r="A37" s="5" t="s">
        <x:v>330</x:v>
      </x:c>
      <x:c r="B37" s="5" t="s">
        <x:v>285</x:v>
      </x:c>
      <x:c r="C37" s="5" t="s">
        <x:v>286</x:v>
      </x:c>
      <x:c r="D37" s="5" t="s">
        <x:v>77</x:v>
      </x:c>
      <x:c r="E37" s="5" t="s">
        <x:v>66</x:v>
      </x:c>
      <x:c r="F37" s="5" t="s">
        <x:v>25</x:v>
      </x:c>
      <x:c r="G37" s="5" t="s">
        <x:v>67</x:v>
      </x:c>
      <x:c r="H37" s="5" t="s">
        <x:v>288</x:v>
      </x:c>
      <x:c r="I37" s="5" t="s">
        <x:v>289</x:v>
      </x:c>
      <x:c r="J37" s="5" t="s">
        <x:v>331</x:v>
      </x:c>
      <x:c r="K37" s="5" t="s">
        <x:v>49</x:v>
      </x:c>
      <x:c r="L37" s="5" t="s">
        <x:v>332</x:v>
      </x:c>
      <x:c r="M37" s="5" t="s">
        <x:v>333</x:v>
      </x:c>
      <x:c r="N37" s="5" t="s">
        <x:v>334</x:v>
      </x:c>
      <x:c r="O37" s="5" t="s">
        <x:v>335</x:v>
      </x:c>
      <x:c r="P37" s="5" t="s">
        <x:v>336</x:v>
      </x:c>
      <x:c r="Q37" s="5" t="s">
        <x:v>84</x:v>
      </x:c>
      <x:c r="R37" s="5" t="s">
        <x:v>55</x:v>
      </x:c>
      <x:c r="S37" s="5" t="s">
        <x:v>294</x:v>
      </x:c>
    </x:row>
    <x:row r="38" ht="15" hidden="0" customHeight="1">
      <x:c r="A38" s="5" t="s">
        <x:v>337</x:v>
      </x:c>
      <x:c r="B38" s="5" t="s">
        <x:v>338</x:v>
      </x:c>
      <x:c r="C38" s="5" t="s">
        <x:v>339</x:v>
      </x:c>
      <x:c r="D38" s="5" t="s">
        <x:v>340</x:v>
      </x:c>
      <x:c r="E38" s="5" t="s">
        <x:v>61</x:v>
      </x:c>
      <x:c r="F38" s="5" t="s">
        <x:v>25</x:v>
      </x:c>
      <x:c r="G38" s="5" t="s">
        <x:v>340</x:v>
      </x:c>
      <x:c r="H38" s="5" t="s">
        <x:v>341</x:v>
      </x:c>
      <x:c r="I38" s="5" t="s">
        <x:v>342</x:v>
      </x:c>
      <x:c r="J38" s="5" t="s">
        <x:v>343</x:v>
      </x:c>
      <x:c r="K38" s="5" t="s">
        <x:v>344</x:v>
      </x:c>
      <x:c r="L38" s="5" t="s">
        <x:v>345</x:v>
      </x:c>
      <x:c r="M38" s="5" t="s">
        <x:v>340</x:v>
      </x:c>
      <x:c r="N38" s="5" t="s">
        <x:v>340</x:v>
      </x:c>
      <x:c r="O38" s="5" t="s">
        <x:v>340</x:v>
      </x:c>
      <x:c r="P38" s="5" t="s">
        <x:v>346</x:v>
      </x:c>
      <x:c r="Q38" s="5" t="s">
        <x:v>84</x:v>
      </x:c>
      <x:c r="R38" s="5" t="s">
        <x:v>347</x:v>
      </x:c>
      <x:c r="S38" s="5" t="s">
        <x:v>56</x:v>
      </x:c>
    </x:row>
    <x:row r="39" ht="39.599998474121094" hidden="0" customHeight="1">
      <x:c r="A39" s="5" t="s">
        <x:v>348</x:v>
      </x:c>
      <x:c r="B39" s="5" t="s">
        <x:v>349</x:v>
      </x:c>
      <x:c r="C39" s="5" t="s">
        <x:v>350</x:v>
      </x:c>
      <x:c r="D39" s="5" t="s">
        <x:v>351</x:v>
      </x:c>
      <x:c r="E39" s="5" t="s">
        <x:v>24</x:v>
      </x:c>
      <x:c r="F39" s="5" t="s">
        <x:v>25</x:v>
      </x:c>
      <x:c r="G39" s="5" t="s">
        <x:v>26</x:v>
      </x:c>
      <x:c r="H39" s="5" t="s">
        <x:v>352</x:v>
      </x:c>
      <x:c r="I39" s="5" t="s">
        <x:v>342</x:v>
      </x:c>
      <x:c r="J39" s="5" t="s">
        <x:v>353</x:v>
      </x:c>
      <x:c r="K39" s="5" t="s">
        <x:v>30</x:v>
      </x:c>
      <x:c r="L39" s="5" t="s">
        <x:v>31</x:v>
      </x:c>
      <x:c r="M39" s="5" t="s">
        <x:v>354</x:v>
      </x:c>
      <x:c r="N39" s="5" t="s">
        <x:v>355</x:v>
      </x:c>
      <x:c r="O39" s="5" t="s">
        <x:v>356</x:v>
      </x:c>
      <x:c r="P39" s="5" t="s">
        <x:v>357</x:v>
      </x:c>
      <x:c r="Q39" s="5" t="s">
        <x:v>36</x:v>
      </x:c>
      <x:c r="R39" s="5" t="s">
        <x:v>358</x:v>
      </x:c>
      <x:c r="S39" s="5" t="s">
        <x:v>38</x:v>
      </x:c>
    </x:row>
    <x:row r="40" ht="39.599998474121094" hidden="0" customHeight="1">
      <x:c r="A40" s="5" t="s">
        <x:v>359</x:v>
      </x:c>
      <x:c r="B40" s="5" t="s">
        <x:v>349</x:v>
      </x:c>
      <x:c r="C40" s="5" t="s">
        <x:v>350</x:v>
      </x:c>
      <x:c r="D40" s="5" t="s">
        <x:v>89</x:v>
      </x:c>
      <x:c r="E40" s="5" t="s">
        <x:v>24</x:v>
      </x:c>
      <x:c r="F40" s="5" t="s">
        <x:v>25</x:v>
      </x:c>
      <x:c r="G40" s="5" t="s">
        <x:v>26</x:v>
      </x:c>
      <x:c r="H40" s="5" t="s">
        <x:v>352</x:v>
      </x:c>
      <x:c r="I40" s="5" t="s">
        <x:v>342</x:v>
      </x:c>
      <x:c r="J40" s="5" t="s">
        <x:v>360</x:v>
      </x:c>
      <x:c r="K40" s="5" t="s">
        <x:v>361</x:v>
      </x:c>
      <x:c r="L40" s="5" t="s">
        <x:v>31</x:v>
      </x:c>
      <x:c r="M40" s="5" t="s">
        <x:v>362</x:v>
      </x:c>
      <x:c r="N40" s="5" t="s">
        <x:v>363</x:v>
      </x:c>
      <x:c r="O40" s="5" t="s">
        <x:v>364</x:v>
      </x:c>
      <x:c r="P40" s="5" t="s">
        <x:v>365</x:v>
      </x:c>
      <x:c r="Q40" s="5" t="s">
        <x:v>84</x:v>
      </x:c>
      <x:c r="R40" s="5" t="s">
        <x:v>98</x:v>
      </x:c>
      <x:c r="S40" s="5" t="s">
        <x:v>366</x:v>
      </x:c>
    </x:row>
    <x:row r="41" ht="26.399999618530273" hidden="0" customHeight="1">
      <x:c r="A41" s="5" t="s">
        <x:v>367</x:v>
      </x:c>
      <x:c r="B41" s="5" t="s">
        <x:v>349</x:v>
      </x:c>
      <x:c r="C41" s="5" t="s">
        <x:v>350</x:v>
      </x:c>
      <x:c r="D41" s="5" t="s">
        <x:v>23</x:v>
      </x:c>
      <x:c r="E41" s="5" t="s">
        <x:v>24</x:v>
      </x:c>
      <x:c r="F41" s="5" t="s">
        <x:v>25</x:v>
      </x:c>
      <x:c r="G41" s="5" t="s">
        <x:v>26</x:v>
      </x:c>
      <x:c r="H41" s="5" t="s">
        <x:v>352</x:v>
      </x:c>
      <x:c r="I41" s="5" t="s">
        <x:v>342</x:v>
      </x:c>
      <x:c r="J41" s="5" t="s">
        <x:v>368</x:v>
      </x:c>
      <x:c r="K41" s="5" t="s">
        <x:v>361</x:v>
      </x:c>
      <x:c r="L41" s="5" t="s">
        <x:v>31</x:v>
      </x:c>
      <x:c r="M41" s="5" t="s">
        <x:v>369</x:v>
      </x:c>
      <x:c r="N41" s="5" t="s">
        <x:v>370</x:v>
      </x:c>
      <x:c r="O41" s="5" t="s">
        <x:v>371</x:v>
      </x:c>
      <x:c r="P41" s="5" t="s">
        <x:v>372</x:v>
      </x:c>
      <x:c r="Q41" s="5" t="s">
        <x:v>84</x:v>
      </x:c>
      <x:c r="R41" s="5" t="s">
        <x:v>55</x:v>
      </x:c>
      <x:c r="S41" s="5" t="s">
        <x:v>56</x:v>
      </x:c>
    </x:row>
    <x:row r="42" ht="26.399999618530273" hidden="0" customHeight="1">
      <x:c r="A42" s="5" t="s">
        <x:v>373</x:v>
      </x:c>
      <x:c r="B42" s="5" t="s">
        <x:v>338</x:v>
      </x:c>
      <x:c r="C42" s="5" t="s">
        <x:v>339</x:v>
      </x:c>
      <x:c r="D42" s="5" t="s">
        <x:v>77</x:v>
      </x:c>
      <x:c r="E42" s="5" t="s">
        <x:v>61</x:v>
      </x:c>
      <x:c r="F42" s="5" t="s">
        <x:v>25</x:v>
      </x:c>
      <x:c r="G42" s="5" t="s">
        <x:v>340</x:v>
      </x:c>
      <x:c r="H42" s="5" t="s">
        <x:v>341</x:v>
      </x:c>
      <x:c r="I42" s="5" t="s">
        <x:v>342</x:v>
      </x:c>
      <x:c r="J42" s="5" t="s">
        <x:v>374</x:v>
      </x:c>
      <x:c r="K42" s="5" t="s">
        <x:v>79</x:v>
      </x:c>
      <x:c r="L42" s="5" t="s">
        <x:v>31</x:v>
      </x:c>
      <x:c r="M42" s="5" t="s">
        <x:v>80</x:v>
      </x:c>
      <x:c r="N42" s="5" t="s">
        <x:v>375</x:v>
      </x:c>
      <x:c r="O42" s="5" t="s">
        <x:v>376</x:v>
      </x:c>
      <x:c r="P42" s="5" t="s">
        <x:v>377</x:v>
      </x:c>
      <x:c r="Q42" s="5" t="s">
        <x:v>378</x:v>
      </x:c>
      <x:c r="R42" s="5" t="s">
        <x:v>85</x:v>
      </x:c>
      <x:c r="S42" s="5" t="s">
        <x:v>56</x:v>
      </x:c>
    </x:row>
    <x:row r="43" ht="26.399999618530273" hidden="0" customHeight="1">
      <x:c r="A43" s="5" t="s">
        <x:v>379</x:v>
      </x:c>
      <x:c r="B43" s="5" t="s">
        <x:v>322</x:v>
      </x:c>
      <x:c r="C43" s="5" t="s">
        <x:v>323</x:v>
      </x:c>
      <x:c r="D43" s="5" t="s">
        <x:v>77</x:v>
      </x:c>
      <x:c r="E43" s="5" t="s">
        <x:v>218</x:v>
      </x:c>
      <x:c r="F43" s="5" t="s">
        <x:v>25</x:v>
      </x:c>
      <x:c r="G43" s="5" t="s">
        <x:v>67</x:v>
      </x:c>
      <x:c r="H43" s="5" t="s">
        <x:v>324</x:v>
      </x:c>
      <x:c r="I43" s="5" t="s">
        <x:v>342</x:v>
      </x:c>
      <x:c r="J43" s="5" t="s">
        <x:v>380</x:v>
      </x:c>
      <x:c r="K43" s="5" t="s">
        <x:v>70</x:v>
      </x:c>
      <x:c r="L43" s="5" t="s">
        <x:v>31</x:v>
      </x:c>
      <x:c r="M43" s="5" t="s">
        <x:v>326</x:v>
      </x:c>
      <x:c r="N43" s="5" t="s">
        <x:v>381</x:v>
      </x:c>
      <x:c r="O43" s="5" t="s">
        <x:v>382</x:v>
      </x:c>
      <x:c r="P43" s="5" t="s">
        <x:v>324</x:v>
      </x:c>
      <x:c r="Q43" s="5" t="s">
        <x:v>160</x:v>
      </x:c>
      <x:c r="R43" s="5" t="s">
        <x:v>277</x:v>
      </x:c>
      <x:c r="S43" s="5" t="s">
        <x:v>56</x:v>
      </x:c>
    </x:row>
    <x:row r="44" ht="26.399999618530273" hidden="0" customHeight="1">
      <x:c r="A44" s="5" t="s">
        <x:v>383</x:v>
      </x:c>
      <x:c r="B44" s="5" t="s">
        <x:v>338</x:v>
      </x:c>
      <x:c r="C44" s="5" t="s">
        <x:v>339</x:v>
      </x:c>
      <x:c r="D44" s="5" t="s">
        <x:v>384</x:v>
      </x:c>
      <x:c r="E44" s="5" t="s">
        <x:v>61</x:v>
      </x:c>
      <x:c r="F44" s="5" t="s">
        <x:v>25</x:v>
      </x:c>
      <x:c r="G44" s="5" t="s">
        <x:v>340</x:v>
      </x:c>
      <x:c r="H44" s="5" t="s">
        <x:v>341</x:v>
      </x:c>
      <x:c r="I44" s="5" t="s">
        <x:v>342</x:v>
      </x:c>
      <x:c r="J44" s="5" t="s">
        <x:v>385</x:v>
      </x:c>
      <x:c r="K44" s="5" t="s">
        <x:v>344</x:v>
      </x:c>
      <x:c r="L44" s="5" t="s">
        <x:v>31</x:v>
      </x:c>
      <x:c r="M44" s="5" t="s">
        <x:v>386</x:v>
      </x:c>
      <x:c r="N44" s="5" t="s">
        <x:v>355</x:v>
      </x:c>
      <x:c r="O44" s="5" t="s">
        <x:v>340</x:v>
      </x:c>
      <x:c r="P44" s="5" t="s">
        <x:v>340</x:v>
      </x:c>
      <x:c r="Q44" s="5" t="s">
        <x:v>36</x:v>
      </x:c>
      <x:c r="R44" s="5" t="s">
        <x:v>46</x:v>
      </x:c>
      <x:c r="S44" s="5" t="s">
        <x:v>56</x:v>
      </x:c>
    </x:row>
    <x:row r="45" ht="15" hidden="0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</x:row>
    <x:row r="46" ht="15" hidden="0" customHeight="1">
      <x:c r="A46" s="5" t="s">
        <x:v>387</x:v>
      </x:c>
      <x:c r="B46" s="5" t="n">
        <x:f aca="0">COUNTA(A5:A44)</x:f>
        <x:v>40</x:v>
      </x:c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</x:row>
    <x:row r="47" ht="15" hidden="0" customHeight="1">
      <x:c r="A47" s="5" t="s">
        <x:v>84</x:v>
      </x:c>
      <x:c r="B47" s="5">
        <x:f aca="0">SUMPRODUCT(--ISNUMBER(SEARCH("[RP]",Q5:Q44)))</x:f>
        <x:v>24</x:v>
      </x:c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</x:row>
    <x:row r="48" ht="15" hidden="0" customHeight="1">
      <x:c r="A48" s="5" t="s">
        <x:v>54</x:v>
      </x:c>
      <x:c r="B48" s="5">
        <x:f aca="0">SUMPRODUCT(--ISNUMBER(SEARCH("[PA]",Q5:Q44)))</x:f>
        <x:v>16</x:v>
      </x:c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</x:row>
    <x:row r="49" ht="15" hidden="0" customHeight="1">
      <x:c r="A49" s="5" t="s">
        <x:v>36</x:v>
      </x:c>
      <x:c r="B49" s="5">
        <x:f aca="0">SUMPRODUCT(--ISNUMBER(SEARCH("[SD]",Q5:Q44)))</x:f>
        <x:v>7</x:v>
      </x:c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</x:row>
    <x:row r="50" ht="26.399999618530273" hidden="0" customHeight="1">
      <x:c r="A50" s="5" t="s">
        <x:v>388</x:v>
      </x:c>
      <x:c r="B50" s="5" t="n">
        <x:f aca="0">IF(COUNTIF(B5:B44,"R01")=0,1,0)+IF(COUNTIF(B5:B44,"R02")=0,1,0)+IF(COUNTIF(B5:B44,"R03")=0,1,0)+IF(COUNTIF(B5:B44,"R04")=0,1,0)+IF(COUNTIF(B5:B44,"R05")=0,1,0)+IF(COUNTIF(B5:B44,"R06")=0,1,0)+IF(COUNTIF(B5:B44,"R07")=0,1,0)+IF(COUNTIF(B5:B44,"R08")=0,1,0)+IF(COUNTIF(B5:B44,"R09")=0,1,0)+IF(COUNTIF(B5:B44,"R10")=0,1,0)+IF(COUNTIF(B5:B44,"R11")=0,1,0)+IF(COUNTIF(B5:B44,"R12")=0,1,0)+IF(COUNTIF(B5:B44,"R13")=0,1,0)+IF(COUNTIF(B5:B44,"R14")=0,1,0)+IF(COUNTIF(B5:B44,"R15")=0,1,0)+IF(COUNTIF(B5:B44,"R16")=0,1,0)+IF(COUNTIF(B5:B44,"R17")=0,1,0)+IF(COUNTIF(B5:B44,"R18")=0,1,0)+IF(COUNTIF(B5:B44,"R19")=0,1,0)</x:f>
        <x:v>0</x:v>
      </x:c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</x:row>
    <x:row r="51" ht="26.399999618530273" hidden="0" customHeight="1">
      <x:c r="A51" s="5" t="s">
        <x:v>389</x:v>
      </x:c>
      <x:c r="B51" s="5">
        <x:f aca="0">COUNTIF(S5:S44,"Realizado*")</x:f>
        <x:v>3</x:v>
      </x:c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</x:row>
    <x:row r="52" ht="171.60000610351562" hidden="0" customHeight="1">
      <x:c r="A52" s="5" t="str">
        <x:v>Revisão B12: os 40 procedimentos desta matriz são planejamento, salvo execução expressamente comprovada nos papéis por modalidade RP/SD. PA não foi executado. Não se presume confiança em controles reais, cobertura de toda população ou independência cognitiva da simulação.</x:v>
      </x:c>
      <x:c r="B52" s="5" t="str">
        <x:v>R01/R02/R03/R05/R16/R17</x:v>
      </x:c>
      <x:c r="C52" s="5" t="str">
        <x:v>Comunicações e conclusão</x:v>
      </x:c>
      <x:c r="D52" s="5" t="str">
        <x:v>Apresentação</x:v>
      </x:c>
      <x:c r="E52" s="5"/>
      <x:c r="F52" s="5"/>
      <x:c r="G52" s="5"/>
      <x:c r="H52" s="5" t="str">
        <x:v>Papéis e fontes M260</x:v>
      </x:c>
      <x:c r="I52" s="5" t="str">
        <x:v>PT 260</x:v>
      </x:c>
      <x:c r="J52" s="5" t="str">
        <x:v>Confrontar planejamento e resultados, redigir minuta</x:v>
      </x:c>
      <x:c r="K52" s="5" t="str">
        <x:v>Leitura e redação</x:v>
      </x:c>
      <x:c r="L52" s="5" t="str">
        <x:v>21/10/2026</x:v>
      </x:c>
      <x:c r="M52" s="5" t="str">
        <x:v>Assuntos relevantes</x:v>
      </x:c>
      <x:c r="N52" s="5" t="str">
        <x:v>Papéis B01–B10</x:v>
      </x:c>
      <x:c r="O52" s="5" t="str">
        <x:v>Mistura de origem ou comunicação fictícia</x:v>
      </x:c>
      <x:c r="P52" s="5" t="str">
        <x:v>M260; M265; conclusão</x:v>
      </x:c>
      <x:c r="Q52" s="5" t="str">
        <x:v>[SD] minuta; [RP] conferência</x:v>
      </x:c>
      <x:c r="R52" s="5" t="str">
        <x:v>PT 260/265</x:v>
      </x:c>
      <x:c r="S52" s="5" t="str">
        <x:v>Concluído B11, sem envio</x:v>
      </x:c>
    </x:row>
    <x:row r="53" ht="92.4000015258789" hidden="0" customHeight="1">
      <x:c r="A53" s="5" t="str">
        <x:v>Encerramento 22/10/2026: V12-01 aplicada, cinco significativos R01/R02/R03/R05/R16; R17 Alto não significativo. REC-04 real [PA].</x:v>
      </x:c>
      <x:c r="B53" s="5" t="str">
        <x:v>R01/R02/R03/R05/R16/R17</x:v>
      </x:c>
      <x:c r="C53" s="5" t="str">
        <x:v>Evidência e distorções</x:v>
      </x:c>
      <x:c r="D53" s="5" t="str">
        <x:v>Múltiplas</x:v>
      </x:c>
      <x:c r="E53" s="5"/>
      <x:c r="F53" s="5"/>
      <x:c r="G53" s="5"/>
      <x:c r="H53" s="5" t="str">
        <x:v>F0003; B08; demais papéis</x:v>
      </x:c>
      <x:c r="I53" s="5" t="str">
        <x:v>PT 450/500</x:v>
      </x:c>
      <x:c r="J53" s="5" t="str">
        <x:v>Avaliar distorções e suficiência por objetivo</x:v>
      </x:c>
      <x:c r="K53" s="5" t="str">
        <x:v>Avaliação documental</x:v>
      </x:c>
      <x:c r="L53" s="5" t="str">
        <x:v>21/10/2026</x:v>
      </x:c>
      <x:c r="M53" s="5" t="str">
        <x:v>Dirigida por afirmação</x:v>
      </x:c>
      <x:c r="N53" s="5" t="str">
        <x:v>Fontes públicas e síntese sintética separadas</x:v>
      </x:c>
      <x:c r="O53" s="5" t="str">
        <x:v>Distorção sem suporte ou suficiência indevida</x:v>
      </x:c>
      <x:c r="P53" s="5" t="str">
        <x:v>PT 450; PT 500 §6.5</x:v>
      </x:c>
      <x:c r="Q53" s="5" t="str">
        <x:v>[RP] público; [SD] sintético</x:v>
      </x:c>
      <x:c r="R53" s="5" t="str">
        <x:v>PT 450/500</x:v>
      </x:c>
      <x:c r="S53" s="5" t="str">
        <x:v>Concluído com lacunas [PA] preservadas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5" max="5" width="110" style="1" hidden="0" customWidth="1"/>
  </x:cols>
  <x:sheetData>
    <x:row r="1" ht="39.599998474121094" hidden="0" customHeight="1">
      <x:c r="A1" s="3" t="s">
        <x:v>9</x:v>
      </x:c>
      <x:c r="B1" s="3" t="s">
        <x:v>390</x:v>
      </x:c>
      <x:c r="C1" s="3" t="s">
        <x:v>391</x:v>
      </x:c>
      <x:c r="D1" s="3" t="s">
        <x:v>392</x:v>
      </x:c>
      <x:c r="E1" s="3" t="s">
        <x:v>393</x:v>
      </x:c>
    </x:row>
    <x:row r="2" ht="26.399999618530273" hidden="0" customHeight="1">
      <x:c r="A2" s="3" t="s">
        <x:v>28</x:v>
      </x:c>
      <x:c r="B2" s="3" t="s">
        <x:v>394</x:v>
      </x:c>
      <x:c r="C2" s="3" t="s">
        <x:v>395</x:v>
      </x:c>
      <x:c r="D2" s="3" t="n">
        <x:f aca="0">COUNTIF(Matriz!I5:I44,"PG-REC")</x:f>
        <x:v>6</x:v>
      </x:c>
      <x:c r="E2" s="3" t="str">
        <x:v>R02 e R03 significativos por presunção de fraude mantida; V12-01 validada. REC-04 inclui detalhes contratuais reais [PA], sem execução fictícia.</x:v>
      </x:c>
    </x:row>
    <x:row r="3" ht="39.599998474121094" hidden="0" customHeight="1">
      <x:c r="A3" s="3" t="s">
        <x:v>91</x:v>
      </x:c>
      <x:c r="B3" s="3" t="s">
        <x:v>396</x:v>
      </x:c>
      <x:c r="C3" s="3" t="s">
        <x:v>397</x:v>
      </x:c>
      <x:c r="D3" s="3" t="n">
        <x:f aca="0">COUNTIF(Matriz!I5:I44,"PG-ESTIM")</x:f>
        <x:v>7</x:v>
      </x:c>
      <x:c r="E3" s="3" t="s">
        <x:v>398</x:v>
      </x:c>
    </x:row>
    <x:row r="4" ht="52.79999923706055" hidden="0" customHeight="1">
      <x:c r="A4" s="3" t="s">
        <x:v>168</x:v>
      </x:c>
      <x:c r="B4" s="3" t="s">
        <x:v>399</x:v>
      </x:c>
      <x:c r="C4" s="3" t="s">
        <x:v>400</x:v>
      </x:c>
      <x:c r="D4" s="3" t="n">
        <x:f aca="0">COUNTIF(Matriz!I5:I44,"PG-PASS")</x:f>
        <x:v>6</x:v>
      </x:c>
      <x:c r="E4" s="3" t="s">
        <x:v>401</x:v>
      </x:c>
    </x:row>
    <x:row r="5" ht="39.599998474121094" hidden="0" customHeight="1">
      <x:c r="A5" s="3" t="s">
        <x:v>231</x:v>
      </x:c>
      <x:c r="B5" s="3" t="s">
        <x:v>402</x:v>
      </x:c>
      <x:c r="C5" s="3" t="s">
        <x:v>227</x:v>
      </x:c>
      <x:c r="D5" s="3" t="n">
        <x:f aca="0">COUNTIF(Matriz!I5:I44,"PG-DISP")</x:f>
        <x:v>2</x:v>
      </x:c>
      <x:c r="E5" s="3" t="str">
        <x:v>Extensão proporcional. O saldo de 2.164.986 é 15,6× a MG, mas o RI é baixo: instrumentos simples, sem julgamento. Conciliação e confirmação são respostas planejadas; eventual extensão depende das afirmações e riscos, sem dispensa automática de outros detalhes (NBC TA 330 it. 18, F0001 p.383: substantivo obrigatório para saldo material).</x:v>
      </x:c>
    </x:row>
    <x:row r="6" ht="26.399999618530273" hidden="0" customHeight="1">
      <x:c r="A6" s="3" t="s">
        <x:v>247</x:v>
      </x:c>
      <x:c r="B6" s="3" t="s">
        <x:v>245</x:v>
      </x:c>
      <x:c r="C6" s="3" t="s">
        <x:v>244</x:v>
      </x:c>
      <x:c r="D6" s="3" t="n">
        <x:f aca="0">COUNTIF(Matriz!I5:I44,"PG-EST")</x:f>
        <x:v>2</x:v>
      </x:c>
      <x:c r="E6" s="3" t="inlineStr">
        <x:is>
          <x:t xml:space="preserve">Extensão proporcional: saldo 167.575 (1,2× MG), risco baixo. Analítico público e contagem planejada nos locais ≥ CT de R$7 milhões, com avaliação dos menores e da cobertura total (RV23-V01). Sem contagem executada.</x:t>
        </x:is>
      </x:c>
    </x:row>
    <x:row r="7" ht="52.79999923706055" hidden="0" customHeight="1">
      <x:c r="A7" s="3" t="s">
        <x:v>265</x:v>
      </x:c>
      <x:c r="B7" s="3" t="s">
        <x:v>404</x:v>
      </x:c>
      <x:c r="C7" s="3" t="s">
        <x:v>405</x:v>
      </x:c>
      <x:c r="D7" s="3" t="n">
        <x:f aca="0">COUNTIF(Matriz!I5:I44,"PG-IMOB")</x:f>
        <x:v>3</x:v>
      </x:c>
      <x:c r="E7" s="3" t="s">
        <x:v>406</x:v>
      </x:c>
    </x:row>
    <x:row r="8" ht="52.79999923706055" hidden="0" customHeight="1">
      <x:c r="A8" s="3" t="s">
        <x:v>289</x:v>
      </x:c>
      <x:c r="B8" s="3" t="s">
        <x:v>407</x:v>
      </x:c>
      <x:c r="C8" s="3" t="s">
        <x:v>408</x:v>
      </x:c>
      <x:c r="D8" s="3" t="n">
        <x:f aca="0">COUNTIF(Matriz!I5:I44,"PG-CONS")</x:f>
        <x:v>7</x:v>
      </x:c>
      <x:c r="E8" s="3" t="s">
        <x:v>409</x:v>
      </x:c>
    </x:row>
  </x:sheetData>
  <x:pageMargins left="0.7" right="0.7" top="0.75" bottom="0.75" header="0.3" footer="0.3"/>
</x:worksheet>
</file>