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763c15a7934d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_315" sheetId="1" r:id="Rf8f9653b625c4c9f"/>
    <x:sheet xmlns:r="http://schemas.openxmlformats.org/officeDocument/2006/relationships" name="TI_e_controles" sheetId="2" r:id="R0fbeff85d2a04e37"/>
  </x:sheets>
</x:workbook>
</file>

<file path=xl/sharedStrings.xml><?xml version="1.0" encoding="utf-8"?>
<x:sst xmlns:x="http://schemas.openxmlformats.org/spreadsheetml/2006/main">
  <x:si>
    <x:t xml:space="preserve">PT 315 – Matriz de riscos (consolidado 2025, R$ mil). Avaliação planejada com fontes públicas; controles NÃO testados (it. 34) → risco de controle = máximo e RDR = RI. Prob./Magn. editáveis (amarelo).</x:t>
  </x:si>
  <x:si>
    <x:t xml:space="preserve">MG</x:t>
  </x:si>
  <x:si>
    <x:t xml:space="preserve">ME</x:t>
  </x:si>
  <x:si>
    <x:t xml:space="preserve">CT</x:t>
  </x:si>
  <x:si>
    <x:t xml:space="preserve">Fonte: PT 320 / D-014</x:t>
  </x:si>
  <x:si>
    <x:t xml:space="preserve">ID</x:t>
  </x:si>
  <x:si>
    <x:t xml:space="preserve">Conta / divulgação</x:t>
  </x:si>
  <x:si>
    <x:t xml:space="preserve">Nota</x:t>
  </x:si>
  <x:si>
    <x:t xml:space="preserve">Saldo 2025</x:t>
  </x:si>
  <x:si>
    <x:t xml:space="preserve">Saldo 2024</x:t>
  </x:si>
  <x:si>
    <x:t xml:space="preserve">Var. %</x:t>
  </x:si>
  <x:si>
    <x:t xml:space="preserve">Saldo / MG</x:t>
  </x:si>
  <x:si>
    <x:t xml:space="preserve">≥ ME?</x:t>
  </x:si>
  <x:si>
    <x:t xml:space="preserve">Processo (ciclo)</x:t>
  </x:si>
  <x:si>
    <x:t xml:space="preserve">Afirmações</x:t>
  </x:si>
  <x:si>
    <x:t xml:space="preserve">Fatores de risco inerente (315 R2 it. 12(f))</x:t>
  </x:si>
  <x:si>
    <x:t xml:space="preserve">Prob. (1–3)</x:t>
  </x:si>
  <x:si>
    <x:t xml:space="preserve">Magn. (1–3)</x:t>
  </x:si>
  <x:si>
    <x:t xml:space="preserve">Escore RI</x:t>
  </x:si>
  <x:si>
    <x:t xml:space="preserve">Nível RI</x:t>
  </x:si>
  <x:si>
    <x:t xml:space="preserve">Risco significativo?</x:t>
  </x:si>
  <x:si>
    <x:t xml:space="preserve">Risco de controle</x:t>
  </x:si>
  <x:si>
    <x:t xml:space="preserve">RDR (it. 34)</x:t>
  </x:si>
  <x:si>
    <x:t xml:space="preserve">Fonte dos fatos</x:t>
  </x:si>
  <x:si>
    <x:t xml:space="preserve">Informação desconhecida</x:t>
  </x:si>
  <x:si>
    <x:t xml:space="preserve">Resposta (PT)</x:t>
  </x:si>
  <x:si>
    <x:t xml:space="preserve">R01</x:t>
  </x:si>
  <x:si>
    <x:t xml:space="preserve">Ativos da concessão – mensuração (taxas implícitas, margens, RBSE)</x:t>
  </x:si>
  <x:si>
    <x:t xml:space="preserve">5.3</x:t>
  </x:si>
  <x:si>
    <x:t xml:space="preserve">PG-ESTIM / PG-REC</x:t>
  </x:si>
  <x:si>
    <x:t xml:space="preserve">Avaliação, exatidão, divulgação</x:t>
  </x:si>
  <x:si>
    <x:t xml:space="preserve">Complexidade; subjetividade; incerteza de estimativa; viés</x:t>
  </x:si>
  <x:si>
    <x:t xml:space="preserve">Sim (KAM; estimativa)</x:t>
  </x:si>
  <x:si>
    <x:t xml:space="preserve">Máximo (controles não testados)</x:t>
  </x:si>
  <x:si>
    <x:t xml:space="preserve">F0003 p.23, p.39, p.44–45, p.136</x:t>
  </x:si>
  <x:si>
    <x:t xml:space="preserve">Modelos de fluxo por contrato; premissas internas</x:t>
  </x:si>
  <x:si>
    <x:t xml:space="preserve">PT 540, 500, 520, 530 (base sintética)</x:t>
  </x:si>
  <x:si>
    <x:t xml:space="preserve">R02</x:t>
  </x:si>
  <x:si>
    <x:t xml:space="preserve">Receita de infraestrutura e custos de construção – ocorrência e corte</x:t>
  </x:si>
  <x:si>
    <x:t xml:space="preserve">16</x:t>
  </x:si>
  <x:si>
    <x:t xml:space="preserve">PG-REC</x:t>
  </x:si>
  <x:si>
    <x:t xml:space="preserve">Ocorrência, corte, exatidão</x:t>
  </x:si>
  <x:si>
    <x:t xml:space="preserve">Mudança; subjetividade (progresso); suscetibilidade a fraude (presunção NBC TA 240)</x:t>
  </x:si>
  <x:si>
    <x:t xml:space="preserve">Sim (fraude presumida; ajuste de competência e deficiência relatados)</x:t>
  </x:si>
  <x:si>
    <x:t xml:space="preserve">F0003 p.25, p.136</x:t>
  </x:si>
  <x:si>
    <x:t xml:space="preserve">Registros de medição e de custos por obra</x:t>
  </x:si>
  <x:si>
    <x:t xml:space="preserve">PT 240, 330, 500, 530</x:t>
  </x:si>
  <x:si>
    <x:t xml:space="preserve">R03</x:t>
  </x:si>
  <x:si>
    <x:t xml:space="preserve">Remuneração dos ativos da concessão</x:t>
  </x:si>
  <x:si>
    <x:t xml:space="preserve">16.3</x:t>
  </x:si>
  <x:si>
    <x:t xml:space="preserve">Exatidão, ocorrência</x:t>
  </x:si>
  <x:si>
    <x:t xml:space="preserve">Complexidade (taxa implícita, índices)</x:t>
  </x:si>
  <x:si>
    <x:t xml:space="preserve">F0003 p.25, p.136 (procedimento vi)</x:t>
  </x:si>
  <x:si>
    <x:t xml:space="preserve">Taxa por contrato</x:t>
  </x:si>
  <x:si>
    <x:t xml:space="preserve">R04</x:t>
  </x:si>
  <x:si>
    <x:t xml:space="preserve">Receitas de RTP e ajustes regulatórios</x:t>
  </x:si>
  <x:si>
    <x:t xml:space="preserve">—</x:t>
  </x:si>
  <x:si>
    <x:t xml:space="preserve">PG-REC / PG-ESTIM</x:t>
  </x:si>
  <x:si>
    <x:t xml:space="preserve">Ocorrência, exatidão, corte</x:t>
  </x:si>
  <x:si>
    <x:t xml:space="preserve">Mudança; dependência de atos ANEEL; incerteza</x:t>
  </x:si>
  <x:si>
    <x:t xml:space="preserve">Não</x:t>
  </x:si>
  <x:si>
    <x:t xml:space="preserve">F0003 p.12, p.25</x:t>
  </x:si>
  <x:si>
    <x:t xml:space="preserve">Atos ANEEL não obtidos (P08, P11, P12)</x:t>
  </x:si>
  <x:si>
    <x:t xml:space="preserve">PT 250, 540, 560</x:t>
  </x:si>
  <x:si>
    <x:t xml:space="preserve">R05</x:t>
  </x:si>
  <x:si>
    <x:t xml:space="preserve">Valores a receber – SEFAZ (Lei 4.819/58)</x:t>
  </x:si>
  <x:si>
    <x:t xml:space="preserve">9.2</x:t>
  </x:si>
  <x:si>
    <x:t xml:space="preserve">PG-ESTIM</x:t>
  </x:si>
  <x:si>
    <x:t xml:space="preserve">Avaliação, existência, divulgação</x:t>
  </x:si>
  <x:si>
    <x:t xml:space="preserve">Incerteza (litígio com o Estado); subjetividade da perda esperada</x:t>
  </x:si>
  <x:si>
    <x:t xml:space="preserve">Sim (ênfase; incerteza elevada)</x:t>
  </x:si>
  <x:si>
    <x:t xml:space="preserve">F0003 p.23, p.69–72, p.135</x:t>
  </x:si>
  <x:si>
    <x:t xml:space="preserve">Situação processual e avaliação jurídica</x:t>
  </x:si>
  <x:si>
    <x:t xml:space="preserve">PT 540, 501 (litígios), 580</x:t>
  </x:si>
  <x:si>
    <x:t xml:space="preserve">R06</x:t>
  </x:si>
  <x:si>
    <x:t xml:space="preserve">Debêntures e empréstimos</x:t>
  </x:si>
  <x:si>
    <x:t xml:space="preserve">6.1–6.2</x:t>
  </x:si>
  <x:si>
    <x:t xml:space="preserve">PG-PASS</x:t>
  </x:si>
  <x:si>
    <x:t xml:space="preserve">Integridade, exatidão, apresentação (covenants)</x:t>
  </x:si>
  <x:si>
    <x:t xml:space="preserve">Mudança (3 emissões em 2025)</x:t>
  </x:si>
  <x:si>
    <x:t xml:space="preserve">F0003 p.13, p.24</x:t>
  </x:si>
  <x:si>
    <x:t xml:space="preserve">Escrituras e cálculo de covenants</x:t>
  </x:si>
  <x:si>
    <x:t xml:space="preserve">PG-PASS; PT 505 (confirmação planejada)</x:t>
  </x:si>
  <x:si>
    <x:t xml:space="preserve">R07</x:t>
  </x:si>
  <x:si>
    <x:t xml:space="preserve">Tributos diferidos (IR/CS e PIS/COFINS)</x:t>
  </x:si>
  <x:si>
    <x:t xml:space="preserve">8.2, 8.4</x:t>
  </x:si>
  <x:si>
    <x:t xml:space="preserve">PG-ESTIM / PG-PASS</x:t>
  </x:si>
  <x:si>
    <x:t xml:space="preserve">Exatidão, avaliação</x:t>
  </x:si>
  <x:si>
    <x:t xml:space="preserve">Complexidade tributária</x:t>
  </x:si>
  <x:si>
    <x:t xml:space="preserve">F0003 p.24, nota 8</x:t>
  </x:si>
  <x:si>
    <x:t xml:space="preserve">Memória de cálculo</x:t>
  </x:si>
  <x:si>
    <x:t xml:space="preserve">PG-PASS; PT 520</x:t>
  </x:si>
  <x:si>
    <x:t xml:space="preserve">R08</x:t>
  </x:si>
  <x:si>
    <x:t xml:space="preserve">Investimentos em controladas em conjunto (equivalência)</x:t>
  </x:si>
  <x:si>
    <x:t xml:space="preserve">7.2–7.3</x:t>
  </x:si>
  <x:si>
    <x:t xml:space="preserve">PG-IMOB (investimentos)</x:t>
  </x:si>
  <x:si>
    <x:t xml:space="preserve">Avaliação, exatidão</x:t>
  </x:si>
  <x:si>
    <x:t xml:space="preserve">Dependência de DFs de investidas</x:t>
  </x:si>
  <x:si>
    <x:t xml:space="preserve">F0003 p.23, p.25, nota 7</x:t>
  </x:si>
  <x:si>
    <x:t xml:space="preserve">DFs auditadas das investidas</x:t>
  </x:si>
  <x:si>
    <x:t xml:space="preserve">PT 600</x:t>
  </x:si>
  <x:si>
    <x:t xml:space="preserve">R09</x:t>
  </x:si>
  <x:si>
    <x:t xml:space="preserve">Provisões e contingências (inclui litígios)</x:t>
  </x:si>
  <x:si>
    <x:t xml:space="preserve">14</x:t>
  </x:si>
  <x:si>
    <x:t xml:space="preserve">PG-PASS / PG-ESTIM</x:t>
  </x:si>
  <x:si>
    <x:t xml:space="preserve">Integridade, avaliação, divulgação</x:t>
  </x:si>
  <x:si>
    <x:t xml:space="preserve">Incerteza; subjetividade</x:t>
  </x:si>
  <x:si>
    <x:t xml:space="preserve">F0003 p.12 (EPTE), p.24, p.86</x:t>
  </x:si>
  <x:si>
    <x:t xml:space="preserve">Cartas de advogados (não solicitadas)</x:t>
  </x:si>
  <x:si>
    <x:t xml:space="preserve">PT 501, 540, 560</x:t>
  </x:si>
  <x:si>
    <x:t xml:space="preserve">R10</x:t>
  </x:si>
  <x:si>
    <x:t xml:space="preserve">Caixa, equivalentes e aplicações</x:t>
  </x:si>
  <x:si>
    <x:t xml:space="preserve">6.4–6.5</x:t>
  </x:si>
  <x:si>
    <x:t xml:space="preserve">PG-DISP</x:t>
  </x:si>
  <x:si>
    <x:t xml:space="preserve">Existência, direitos</x:t>
  </x:si>
  <x:si>
    <x:t xml:space="preserve">Baixa complexidade</x:t>
  </x:si>
  <x:si>
    <x:t xml:space="preserve">F0003 p.23</x:t>
  </x:si>
  <x:si>
    <x:t xml:space="preserve">Extratos e confirmações</x:t>
  </x:si>
  <x:si>
    <x:t xml:space="preserve">PG-DISP; PT 505 (planejado)</x:t>
  </x:si>
  <x:si>
    <x:t xml:space="preserve">R11</x:t>
  </x:si>
  <x:si>
    <x:t xml:space="preserve">Partes relacionadas (saldos e divulgação)</x:t>
  </x:si>
  <x:si>
    <x:t xml:space="preserve">22.1</x:t>
  </x:si>
  <x:si>
    <x:t xml:space="preserve">PG-PASS / divulgação</x:t>
  </x:si>
  <x:si>
    <x:t xml:space="preserve">Integridade, divulgação</x:t>
  </x:si>
  <x:si>
    <x:t xml:space="preserve">Suscetibilidade a viés; materialidade específica qualitativa</x:t>
  </x:si>
  <x:si>
    <x:t xml:space="preserve">F0003 p.23, p.109–111</x:t>
  </x:si>
  <x:si>
    <x:t xml:space="preserve">Lista completa de partes</x:t>
  </x:si>
  <x:si>
    <x:t xml:space="preserve">PT 550</x:t>
  </x:si>
  <x:si>
    <x:t xml:space="preserve">R12</x:t>
  </x:si>
  <x:si>
    <x:t xml:space="preserve">Honorários da administração (divulgação)</x:t>
  </x:si>
  <x:si>
    <x:t xml:space="preserve">22.2</x:t>
  </x:si>
  <x:si>
    <x:t xml:space="preserve">Divulgação</x:t>
  </x:si>
  <x:si>
    <x:t xml:space="preserve">Exatidão, divulgação</x:t>
  </x:si>
  <x:si>
    <x:t xml:space="preserve">Materialidade específica qualitativa</x:t>
  </x:si>
  <x:si>
    <x:t xml:space="preserve">F0003 p.25, nota 22.2</x:t>
  </x:si>
  <x:si>
    <x:t xml:space="preserve">Atas de remuneração</x:t>
  </x:si>
  <x:si>
    <x:t xml:space="preserve">R13</x:t>
  </x:si>
  <x:si>
    <x:t xml:space="preserve">Estoques (circulante + LP)</x:t>
  </x:si>
  <x:si>
    <x:t xml:space="preserve">PG-EST</x:t>
  </x:si>
  <x:si>
    <x:t xml:space="preserve">Existência, avaliação</x:t>
  </x:si>
  <x:si>
    <x:t xml:space="preserve">Baixa; materiais para obras</x:t>
  </x:si>
  <x:si>
    <x:t xml:space="preserve">Inventário físico</x:t>
  </x:si>
  <x:si>
    <x:t xml:space="preserve">PG-EST (proporcional); PT 501 (contagem planejada)</x:t>
  </x:si>
  <x:si>
    <x:t xml:space="preserve">R14</x:t>
  </x:si>
  <x:si>
    <x:t xml:space="preserve">Imobilizado e intangível</x:t>
  </x:si>
  <x:si>
    <x:t xml:space="preserve">10.1–10.2</x:t>
  </x:si>
  <x:si>
    <x:t xml:space="preserve">PG-IMOB</x:t>
  </x:si>
  <x:si>
    <x:t xml:space="preserve">Baixa (infraestrutura é ativo contratual, não imobilizado)</x:t>
  </x:si>
  <x:si>
    <x:t xml:space="preserve">PG-IMOB (analítico)</x:t>
  </x:si>
  <x:si>
    <x:t xml:space="preserve">R15</x:t>
  </x:si>
  <x:si>
    <x:t xml:space="preserve">Fornecedores e provisões de capex – corte</x:t>
  </x:si>
  <x:si>
    <x:t xml:space="preserve">Integridade, corte</x:t>
  </x:si>
  <x:si>
    <x:t xml:space="preserve">Ligado ao R02 (competência de custos)</x:t>
  </x:si>
  <x:si>
    <x:t xml:space="preserve">F0003 p.24, p.136</x:t>
  </x:si>
  <x:si>
    <x:t xml:space="preserve">Medições de obra pós-data</x:t>
  </x:si>
  <x:si>
    <x:t xml:space="preserve">PG-PASS; PT 560</x:t>
  </x:si>
  <x:si>
    <x:t xml:space="preserve">R16</x:t>
  </x:si>
  <x:si>
    <x:t xml:space="preserve">Burla de controles pela administração (nível DF)</x:t>
  </x:si>
  <x:si>
    <x:t xml:space="preserve">Todos</x:t>
  </x:si>
  <x:si>
    <x:t xml:space="preserve">Todas</x:t>
  </x:si>
  <x:si>
    <x:t xml:space="preserve">Fraude – presunção (NBC TA 240 it. 31)</x:t>
  </x:si>
  <x:si>
    <x:t xml:space="preserve">Sim (presunção, não refutável)</x:t>
  </x:si>
  <x:si>
    <x:t xml:space="preserve">NBC TA 240; F0003 p.136</x:t>
  </x:si>
  <x:si>
    <x:t xml:space="preserve">Lançamentos manuais e seus autores</x:t>
  </x:si>
  <x:si>
    <x:t xml:space="preserve">PT 240 (lançamentos, estimativas, transações incomuns)</x:t>
  </x:si>
  <x:si>
    <x:t xml:space="preserve">R17</x:t>
  </x:si>
  <x:si>
    <x:t xml:space="preserve">Divulgação de premissas e sensibilidade do ativo contratual</x:t>
  </x:si>
  <x:si>
    <x:t xml:space="preserve">5</x:t>
  </x:si>
  <x:si>
    <x:t xml:space="preserve">Divulgação, classificação</x:t>
  </x:si>
  <x:si>
    <x:t xml:space="preserve">Subjetividade; materialidade específica qualitativa; incerteza alta demonstrada (PT 540 §6.3: ±0,5 p.p. → 13–14× ME) sem análise de sensibilidade divulgada</x:t>
  </x:si>
  <x:si>
    <x:t xml:space="preserve">F0003 p.39, p.44–45, p.81, p.119; PT 540 (B09)</x:t>
  </x:si>
  <x:si>
    <x:t xml:space="preserve">PT 540</x:t>
  </x:si>
  <x:si>
    <x:t xml:space="preserve">R19</x:t>
  </x:si>
  <x:si>
    <x:t xml:space="preserve">Processo de consolidação: eliminações, uniformidade de políticas, mais-valias de aquisição e equivalência das controladas em conjunto</x:t>
  </x:si>
  <x:si>
    <x:t xml:space="preserve">2.5, 7</x:t>
  </x:si>
  <x:si>
    <x:t xml:space="preserve">Consolidação (PG-CONS)</x:t>
  </x:si>
  <x:si>
    <x:t xml:space="preserve">Exatidão, integridade, apresentação</x:t>
  </x:si>
  <x:si>
    <x:t xml:space="preserve">Complexidade (16 controladas, 4 fundos com não controladores, 5 JVs); resíduo de R$ 30.907 mil não explicado publicamente na conferência C6 (GRUPO_ISA_2025.xlsx)</x:t>
  </x:si>
  <x:si>
    <x:t xml:space="preserve">F0003 p.40–41, p.59–62; F0258–F0279</x:t>
  </x:si>
  <x:si>
    <x:t xml:space="preserve">Pacote de consolidação; eliminações por natureza</x:t>
  </x:si>
  <x:si>
    <x:t xml:space="preserve">PT 600; PG-CONS</x:t>
  </x:si>
  <x:si>
    <x:t xml:space="preserve">R18</x:t>
  </x:si>
  <x:si>
    <x:t xml:space="preserve">Fundos de investimento consolidados e não controladores</x:t>
  </x:si>
  <x:si>
    <x:t xml:space="preserve">2.5</x:t>
  </x:si>
  <x:si>
    <x:t xml:space="preserve">Apresentação</x:t>
  </x:si>
  <x:si>
    <x:t xml:space="preserve">Classificação, apresentação</x:t>
  </x:si>
  <x:si>
    <x:t xml:space="preserve">Complexidade de consolidação</x:t>
  </x:si>
  <x:si>
    <x:t xml:space="preserve">F0003 p.24, p.40</x:t>
  </x:si>
  <x:si>
    <x:t xml:space="preserve">DFs dos fundos (P13)</x:t>
  </x:si>
  <x:si>
    <x:t xml:space="preserve">Riscos significativos</x:t>
  </x:si>
  <x:si>
    <x:t xml:space="preserve">RI Alto</x:t>
  </x:si>
  <x:si>
    <x:t xml:space="preserve">Contas ≥ ME</x:t>
  </x:si>
  <x:si>
    <x:t xml:space="preserve">Escala (julgamento do preparador): Prob×Magn ≥9 extremo superior; ≥6 alto; ≥3 moderado; &lt;3 baixo. Espectro de risco inerente: NBC TA 315 (R2) it. 31 (F0001 p.263–264).</x:t>
  </x:si>
  <x:si>
    <x:t xml:space="preserve">Componente (315 R2)</x:t>
  </x:si>
  <x:si>
    <x:t xml:space="preserve">Entendimento com fonte pública</x:t>
  </x:si>
  <x:si>
    <x:t xml:space="preserve">Fonte</x:t>
  </x:si>
  <x:si>
    <x:t xml:space="preserve">Desconhecido / limitação</x:t>
  </x:si>
  <x:si>
    <x:t xml:space="preserve">Ambiente de controle (it. 21)</x:t>
  </x:si>
  <x:si>
    <x:t xml:space="preserve">CA, Comitê de Auditoria e Riscos, auditoria interna, política de contratação do auditor</x:t>
  </x:si>
  <x:si>
    <x:t xml:space="preserve">F0003 p.133; F0086 p.1–3</x:t>
  </x:si>
  <x:si>
    <x:t xml:space="preserve">Atas e avaliações internas</x:t>
  </x:si>
  <x:si>
    <x:t xml:space="preserve">Processo de avaliação de riscos (it. 22)</x:t>
  </x:si>
  <x:si>
    <x:t xml:space="preserve">Gestão de riscos descrita no Formulário de Referência</x:t>
  </x:si>
  <x:si>
    <x:t xml:space="preserve">F0053 (seções de riscos)</x:t>
  </x:si>
  <x:si>
    <x:t xml:space="preserve">Matriz de riscos interna</x:t>
  </x:si>
  <x:si>
    <x:t xml:space="preserve">Monitoramento (it. 24)</x:t>
  </x:si>
  <x:si>
    <x:t xml:space="preserve">Comitê de Auditoria e Riscos revisa as DFs</x:t>
  </x:si>
  <x:si>
    <x:t xml:space="preserve">F0003 p.133</x:t>
  </x:si>
  <x:si>
    <x:t xml:space="preserve">Relatórios de auditoria interna</x:t>
  </x:si>
  <x:si>
    <x:t xml:space="preserve">Sistema de informação (it. 25)</x:t>
  </x:si>
  <x:si>
    <x:t xml:space="preserve">Não há descrição dos sistemas de TI nas DFs 2025 (busca textual no F0003 por "Tecnologia", "sistema de informação": sem resultado pertinente)</x:t>
  </x:si>
  <x:si>
    <x:t xml:space="preserve">F0003</x:t>
  </x:si>
  <x:si>
    <x:t xml:space="preserve">ERP, interfaces, faturamento ONS, controles gerais de TI</x:t>
  </x:si>
  <x:si>
    <x:t xml:space="preserve">Atividades de controle (it. 26)</x:t>
  </x:si>
  <x:si>
    <x:t xml:space="preserve">O auditor real relatou deficiência de controle no reconhecimento da receita (ajuste de competência 2024 lançado em 2025)</x:t>
  </x:si>
  <x:si>
    <x:t xml:space="preserve">F0003 p.136</x:t>
  </x:si>
  <x:si>
    <x:t xml:space="preserve">Desenho e implementação dos controles; nenhum teste de eficácia operacional é presumido</x:t>
  </x:si>
  <x:si>
    <x:t xml:space="preserve">Deficiências (it. 27)</x:t>
  </x:si>
  <x:si>
    <x:t xml:space="preserve">Deficiência acima é indício para o PT 265</x:t>
  </x:si>
  <x:si>
    <x:t xml:space="preserve">Se foi classificada como significativa</x:t>
  </x:si>
</x:sst>
</file>

<file path=xl/styles.xml><?xml version="1.0" encoding="utf-8"?>
<x:styleSheet xmlns:x="http://schemas.openxmlformats.org/spreadsheetml/2006/main">
  <x:numFmts count="4">
    <x:numFmt numFmtId="164" formatCode="General"/>
    <x:numFmt numFmtId="165" formatCode="#,##0"/>
    <x:numFmt numFmtId="166" formatCode="0.0%"/>
    <x:numFmt numFmtId="167" formatCode="0.0\x"/>
  </x:numFmts>
  <x:fonts count="5">
    <x:font>
      <x:sz val="11"/>
      <x:color theme="1"/>
      <x:name val="Calibri"/>
      <x:family val="2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1"/>
      <x:name val="Cambria"/>
    </x:font>
  </x:fonts>
  <x:fills count="4">
    <x:fill>
      <x:patternFill patternType="none"/>
    </x:fill>
    <x:fill>
      <x:patternFill patternType="gray125"/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1">
    <x:border diagonalUp="0" diagonalDown="0">
      <x:left/>
      <x:right/>
      <x:top/>
      <x:bottom/>
      <x:diagonal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3">
    <x:xf numFmtId="164" fontId="0" fillId="0" borderId="0" xfId="0" applyFont="0" applyBorder="0" applyAlignment="0" applyProtection="0">
      <x:alignment horizontal="general" vertical="bottom" wrapText="0" shrinkToFit="0"/>
      <x:protection locked="1" hidden="0"/>
    </x:xf>
    <x:xf numFmtId="164" fontId="0" fillId="0" borderId="0" xfId="0" applyFont="0" applyBorder="0" applyAlignment="1" applyProtection="0">
      <x:alignment horizontal="general" vertical="bottom" wrapText="0" shrinkToFit="0"/>
      <x:protection locked="1" hidden="0"/>
    </x:xf>
    <x:xf numFmtId="164" fontId="4" fillId="2" borderId="0" xfId="0" applyFont="1" applyBorder="0" applyAlignment="1" applyProtection="0">
      <x:alignment horizontal="general" vertical="bottom" wrapText="0" shrinkToFit="0"/>
      <x:protection locked="1" hidden="0"/>
    </x:xf>
    <x:xf numFmtId="165" fontId="0" fillId="0" borderId="0" xfId="0" applyFont="0" applyBorder="0" applyAlignment="1" applyProtection="0">
      <x:alignment horizontal="general" vertical="bottom" wrapText="0" shrinkToFit="0"/>
      <x:protection locked="1" hidden="0"/>
    </x:xf>
    <x:xf numFmtId="166" fontId="0" fillId="0" borderId="0" xfId="0" applyFont="0" applyBorder="0" applyAlignment="1" applyProtection="0">
      <x:alignment horizontal="general" vertical="bottom" wrapText="0" shrinkToFit="0"/>
      <x:protection locked="1" hidden="0"/>
    </x:xf>
    <x:xf numFmtId="167" fontId="0" fillId="0" borderId="0" xfId="0" applyFont="0" applyBorder="0" applyAlignment="1" applyProtection="0">
      <x:alignment horizontal="general" vertical="bottom" wrapText="0" shrinkToFit="0"/>
      <x:protection locked="1" hidden="0"/>
    </x:xf>
    <x:xf numFmtId="164" fontId="0" fillId="3" borderId="0" xfId="0" applyFont="0" applyBorder="0" applyAlignment="1" applyProtection="0">
      <x:alignment horizontal="general" vertical="bottom" wrapText="0" shrinkToFit="0"/>
      <x:protection locked="1" hidden="0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4" fillId="2" borderId="0" xfId="0" applyNumberFormat="1" applyFont="1" applyFill="1" applyBorder="1" applyAlignment="1">
      <x:alignment horizontal="general" vertical="bottom" wrapText="1"/>
    </x:xf>
    <x:xf numFmtId="165" fontId="0" fillId="0" borderId="0" xfId="0" applyNumberFormat="1" applyFont="1" applyFill="1" applyBorder="1" applyAlignment="1">
      <x:alignment horizontal="general" vertical="bottom" wrapText="1"/>
    </x:xf>
    <x:xf numFmtId="166" fontId="0" fillId="0" borderId="0" xfId="0" applyNumberFormat="1" applyFont="1" applyFill="1" applyBorder="1" applyAlignment="1">
      <x:alignment horizontal="general" vertical="bottom" wrapText="1"/>
    </x:xf>
    <x:xf numFmtId="167" fontId="0" fillId="0" borderId="0" xfId="0" applyNumberFormat="1" applyFont="1" applyFill="1" applyBorder="1" applyAlignment="1">
      <x:alignment horizontal="general" vertical="bottom" wrapText="1"/>
    </x:xf>
    <x:xf numFmtId="164" fontId="0" fillId="3" borderId="0" xfId="0" applyNumberFormat="1" applyFont="1" applyFill="1" applyBorder="1" applyAlignment="1">
      <x:alignment horizontal="general" vertical="bottom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2CC"/>
      <x:rgbColor rgb="FFDDEBF7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11111870d1492b" /><Relationship Type="http://schemas.openxmlformats.org/officeDocument/2006/relationships/theme" Target="/xl/theme/theme1.xml" Id="Rb7ce031322494cca" /><Relationship Type="http://schemas.openxmlformats.org/officeDocument/2006/relationships/sharedStrings" Target="/xl/sharedStrings.xml" Id="Rb8cb652278c34bd7" /><Relationship Type="http://schemas.openxmlformats.org/officeDocument/2006/relationships/worksheet" Target="/xl/worksheets/sheet1.xml" Id="Rf8f9653b625c4c9f" /><Relationship Type="http://schemas.openxmlformats.org/officeDocument/2006/relationships/worksheet" Target="/xl/worksheets/sheet2.xml" Id="R0fbeff85d2a04e37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1" workbookViewId="0"/>
  </ns0:sheetViews>
  <ns0:sheetFormatPr defaultColWidth="8.6796875" defaultRowHeight="15"/>
  <ns0:cols>
    <ns0:col min="1" max="1" width="18" style="1" hidden="0" customWidth="1"/>
    <ns0:col min="2" max="2" width="42" style="1" hidden="0" customWidth="1"/>
    <ns0:col min="3" max="10" width="18" style="1" hidden="0" customWidth="1"/>
    <ns0:col min="11" max="11" width="36" style="1" hidden="0" customWidth="1"/>
    <ns0:col min="12" max="21" width="18" style="1" hidden="0" customWidth="1"/>
  </ns0:cols>
  <ns0:sheetData>
    <ns0:row r="1" ht="132" hidden="0" customHeight="1">
      <ns0:c r="A1" s="7" t="s">
        <ns0:v>0</ns0:v>
      </ns0:c>
      <ns0:c r="B1" s="7"/>
      <ns0:c r="C1" s="7"/>
      <ns0:c r="D1" s="7"/>
      <ns0:c r="E1" s="7"/>
      <ns0:c r="F1" s="7"/>
      <ns0:c r="G1" s="7"/>
      <ns0:c r="H1" s="7"/>
      <ns0:c r="I1" s="7"/>
      <ns0:c r="J1" s="7"/>
      <ns0:c r="K1" s="7"/>
      <ns0:c r="L1" s="7"/>
      <ns0:c r="M1" s="7"/>
      <ns0:c r="N1" s="7"/>
      <ns0:c r="O1" s="7"/>
      <ns0:c r="P1" s="7"/>
      <ns0:c r="Q1" s="7"/>
      <ns0:c r="R1" s="7"/>
      <ns0:c r="S1" s="7"/>
      <ns0:c r="T1" s="7"/>
      <ns0:c r="U1" s="7"/>
    </ns0:row>
    <ns0:row r="2" ht="15" hidden="0" customHeight="1">
      <ns0:c r="A2" s="7" t="s">
        <ns0:v>1</ns0:v>
      </ns0:c>
      <ns0:c r="B2" s="7" t="n">
        <ns0:v>139000</ns0:v>
      </ns0:c>
      <ns0:c r="C2" s="7" t="s">
        <ns0:v>2</ns0:v>
      </ns0:c>
      <ns0:c r="D2" s="7" t="n">
        <ns0:v>90000</ns0:v>
      </ns0:c>
      <ns0:c r="E2" s="7" t="s">
        <ns0:v>3</ns0:v>
      </ns0:c>
      <ns0:c r="F2" s="7" t="n">
        <ns0:v>7000</ns0:v>
      </ns0:c>
      <ns0:c r="G2" s="7" t="s">
        <ns0:v>4</ns0:v>
      </ns0:c>
      <ns0:c r="H2" s="7"/>
      <ns0:c r="I2" s="7"/>
      <ns0:c r="J2" s="7"/>
      <ns0:c r="K2" s="7"/>
      <ns0:c r="L2" s="7"/>
      <ns0:c r="M2" s="7"/>
      <ns0:c r="N2" s="7"/>
      <ns0:c r="O2" s="7"/>
      <ns0:c r="P2" s="7"/>
      <ns0:c r="Q2" s="7"/>
      <ns0:c r="R2" s="7"/>
      <ns0:c r="S2" s="7"/>
      <ns0:c r="T2" s="7"/>
      <ns0:c r="U2" s="7"/>
    </ns0:row>
    <ns0:row r="3" ht="26.399999618530273" hidden="0" customHeight="1">
      <ns0:c r="A3" s="8" t="s">
        <ns0:v>5</ns0:v>
      </ns0:c>
      <ns0:c r="B3" s="8" t="s">
        <ns0:v>6</ns0:v>
      </ns0:c>
      <ns0:c r="C3" s="8" t="s">
        <ns0:v>7</ns0:v>
      </ns0:c>
      <ns0:c r="D3" s="8" t="s">
        <ns0:v>8</ns0:v>
      </ns0:c>
      <ns0:c r="E3" s="8" t="s">
        <ns0:v>9</ns0:v>
      </ns0:c>
      <ns0:c r="F3" s="8" t="s">
        <ns0:v>10</ns0:v>
      </ns0:c>
      <ns0:c r="G3" s="8" t="s">
        <ns0:v>11</ns0:v>
      </ns0:c>
      <ns0:c r="H3" s="8" t="s">
        <ns0:v>12</ns0:v>
      </ns0:c>
      <ns0:c r="I3" s="8" t="s">
        <ns0:v>13</ns0:v>
      </ns0:c>
      <ns0:c r="J3" s="8" t="s">
        <ns0:v>14</ns0:v>
      </ns0:c>
      <ns0:c r="K3" s="8" t="s">
        <ns0:v>15</ns0:v>
      </ns0:c>
      <ns0:c r="L3" s="8" t="s">
        <ns0:v>16</ns0:v>
      </ns0:c>
      <ns0:c r="M3" s="8" t="s">
        <ns0:v>17</ns0:v>
      </ns0:c>
      <ns0:c r="N3" s="8" t="s">
        <ns0:v>18</ns0:v>
      </ns0:c>
      <ns0:c r="O3" s="8" t="s">
        <ns0:v>19</ns0:v>
      </ns0:c>
      <ns0:c r="P3" s="8" t="s">
        <ns0:v>20</ns0:v>
      </ns0:c>
      <ns0:c r="Q3" s="8" t="s">
        <ns0:v>21</ns0:v>
      </ns0:c>
      <ns0:c r="R3" s="8" t="s">
        <ns0:v>22</ns0:v>
      </ns0:c>
      <ns0:c r="S3" s="8" t="s">
        <ns0:v>23</ns0:v>
      </ns0:c>
      <ns0:c r="T3" s="8" t="s">
        <ns0:v>24</ns0:v>
      </ns0:c>
      <ns0:c r="U3" s="8" t="s">
        <ns0:v>25</ns0:v>
      </ns0:c>
    </ns0:row>
    <ns0:row r="4" ht="39.599998474121094" hidden="0" customHeight="1">
      <ns0:c r="A4" s="7" t="s">
        <ns0:v>26</ns0:v>
      </ns0:c>
      <ns0:c r="B4" s="7" t="s">
        <ns0:v>27</ns0:v>
      </ns0:c>
      <ns0:c r="C4" s="7" t="s">
        <ns0:v>28</ns0:v>
      </ns0:c>
      <ns0:c r="D4" s="9" t="n">
        <ns0:v>36431298</ns0:v>
      </ns0:c>
      <ns0:c r="E4" s="9" t="n">
        <ns0:v>31046823</ns0:v>
      </ns0:c>
      <ns0:c r="F4" s="10">
        <ns0:f aca="0">IF(OR(D4="",E4="",E4=0),"",D4/E4-1)</ns0:f>
        <ns0:v>0.173430788715483</ns0:v>
      </ns0:c>
      <ns0:c r="G4" s="11">
        <ns0:f aca="0">IF(D4="","",D4/$B$2)</ns0:f>
        <ns0:v>262.095669064748</ns0:v>
      </ns0:c>
      <ns0:c r="H4" s="7" t="str">
        <ns0:f aca="0">IF(D4="","qualitativo",IF(D4&gt;=$D$2,"Sim","Não"))</ns0:f>
        <ns0:v>Sim</ns0:v>
      </ns0:c>
      <ns0:c r="I4" s="7" t="s">
        <ns0:v>29</ns0:v>
      </ns0:c>
      <ns0:c r="J4" s="7" t="s">
        <ns0:v>30</ns0:v>
      </ns0:c>
      <ns0:c r="K4" s="7" t="s">
        <ns0:v>31</ns0:v>
      </ns0:c>
      <ns0:c r="L4" s="12" t="n">
        <ns0:v>3</ns0:v>
      </ns0:c>
      <ns0:c r="M4" s="12" t="n">
        <ns0:v>3</ns0:v>
      </ns0:c>
      <ns0:c r="N4" s="7">
        <ns0:f aca="0">L4*M4</ns0:f>
        <ns0:v>9</ns0:v>
      </ns0:c>
      <ns0:c r="O4" s="7" t="str">
        <ns0:f aca="0">IF(N4&gt;=9,"Alto (extremo superior)",IF(N4&gt;=6,"Alto",IF(N4&gt;=3,"Moderado","Baixo")))</ns0:f>
        <ns0:v>Alto (extremo superior)</ns0:v>
      </ns0:c>
      <ns0:c r="P4" s="7" t="s">
        <ns0:v>32</ns0:v>
      </ns0:c>
      <ns0:c r="Q4" s="7" t="s">
        <ns0:v>33</ns0:v>
      </ns0:c>
      <ns0:c r="R4" s="7" t="str">
        <ns0:f aca="0">O4</ns0:f>
        <ns0:v>Alto (extremo superior)</ns0:v>
      </ns0:c>
      <ns0:c r="S4" s="7" t="s">
        <ns0:v>34</ns0:v>
      </ns0:c>
      <ns0:c r="T4" s="7" t="s">
        <ns0:v>35</ns0:v>
      </ns0:c>
      <ns0:c r="U4" s="7" t="s">
        <ns0:v>36</ns0:v>
      </ns0:c>
    </ns0:row>
    <ns0:row r="5" ht="39.599998474121094" hidden="0" customHeight="1">
      <ns0:c r="A5" s="7" t="s">
        <ns0:v>37</ns0:v>
      </ns0:c>
      <ns0:c r="B5" s="7" t="s">
        <ns0:v>38</ns0:v>
      </ns0:c>
      <ns0:c r="C5" s="7" t="s">
        <ns0:v>39</ns0:v>
      </ns0:c>
      <ns0:c r="D5" s="9" t="n">
        <ns0:v>6734720</ns0:v>
      </ns0:c>
      <ns0:c r="E5" s="9" t="n">
        <ns0:v>5218153</ns0:v>
      </ns0:c>
      <ns0:c r="F5" s="10">
        <ns0:f aca="0">IF(OR(D5="",E5="",E5=0),"",D5/E5-1)</ns0:f>
        <ns0:v>0.290632911683502</ns0:v>
      </ns0:c>
      <ns0:c r="G5" s="11">
        <ns0:f aca="0">IF(D5="","",D5/$B$2)</ns0:f>
        <ns0:v>48.4512230215827</ns0:v>
      </ns0:c>
      <ns0:c r="H5" s="7" t="str">
        <ns0:f aca="0">IF(D5="","qualitativo",IF(D5&gt;=$D$2,"Sim","Não"))</ns0:f>
        <ns0:v>Sim</ns0:v>
      </ns0:c>
      <ns0:c r="I5" s="7" t="s">
        <ns0:v>40</ns0:v>
      </ns0:c>
      <ns0:c r="J5" s="7" t="s">
        <ns0:v>41</ns0:v>
      </ns0:c>
      <ns0:c r="K5" s="7" t="s">
        <ns0:v>42</ns0:v>
      </ns0:c>
      <ns0:c r="L5" s="12" t="n">
        <ns0:v>3</ns0:v>
      </ns0:c>
      <ns0:c r="M5" s="12" t="n">
        <ns0:v>3</ns0:v>
      </ns0:c>
      <ns0:c r="N5" s="7">
        <ns0:f aca="0">L5*M5</ns0:f>
        <ns0:v>9</ns0:v>
      </ns0:c>
      <ns0:c r="O5" s="7" t="str">
        <ns0:f aca="0">IF(N5&gt;=9,"Alto (extremo superior)",IF(N5&gt;=6,"Alto",IF(N5&gt;=3,"Moderado","Baixo")))</ns0:f>
        <ns0:v>Alto (extremo superior)</ns0:v>
      </ns0:c>
      <ns0:c r="P5" s="7" t="s">
        <ns0:v>43</ns0:v>
      </ns0:c>
      <ns0:c r="Q5" s="7" t="s">
        <ns0:v>33</ns0:v>
      </ns0:c>
      <ns0:c r="R5" s="7" t="str">
        <ns0:f aca="0">O5</ns0:f>
        <ns0:v>Alto (extremo superior)</ns0:v>
      </ns0:c>
      <ns0:c r="S5" s="7" t="s">
        <ns0:v>44</ns0:v>
      </ns0:c>
      <ns0:c r="T5" s="7" t="s">
        <ns0:v>45</ns0:v>
      </ns0:c>
      <ns0:c r="U5" s="7" t="s">
        <ns0:v>46</ns0:v>
      </ns0:c>
    </ns0:row>
    <ns0:row r="6" ht="105.5999984741211" hidden="0" customHeight="1">
      <ns0:c r="A6" s="7" t="s">
        <ns0:v>47</ns0:v>
      </ns0:c>
      <ns0:c r="B6" s="7" t="s">
        <ns0:v>48</ns0:v>
      </ns0:c>
      <ns0:c r="C6" s="7" t="s">
        <ns0:v>49</ns0:v>
      </ns0:c>
      <ns0:c r="D6" s="9" t="n">
        <ns0:v>2676433</ns0:v>
      </ns0:c>
      <ns0:c r="E6" s="9" t="n">
        <ns0:v>2748428</ns0:v>
      </ns0:c>
      <ns0:c r="F6" s="10">
        <ns0:f aca="0">IF(OR(D6="",E6="",E6=0),"",D6/E6-1)</ns0:f>
        <ns0:v>-0.0261949739996827</ns0:v>
      </ns0:c>
      <ns0:c r="G6" s="11">
        <ns0:f aca="0">IF(D6="","",D6/$B$2)</ns0:f>
        <ns0:v>19.2549136690648</ns0:v>
      </ns0:c>
      <ns0:c r="H6" s="7" t="str">
        <ns0:f aca="0">IF(D6="","qualitativo",IF(D6&gt;=$D$2,"Sim","Não"))</ns0:f>
        <ns0:v>Sim</ns0:v>
      </ns0:c>
      <ns0:c r="I6" s="7" t="s">
        <ns0:v>40</ns0:v>
      </ns0:c>
      <ns0:c r="J6" s="7" t="s">
        <ns0:v>50</ns0:v>
      </ns0:c>
      <ns0:c r="K6" s="7" t="s">
        <ns0:v>51</ns0:v>
      </ns0:c>
      <ns0:c r="L6" s="12" t="n">
        <ns0:v>2</ns0:v>
      </ns0:c>
      <ns0:c r="M6" s="12" t="n">
        <ns0:v>3</ns0:v>
      </ns0:c>
      <ns0:c r="N6" s="7">
        <ns0:f aca="0">L6*M6</ns0:f>
        <ns0:v>6</ns0:v>
      </ns0:c>
      <ns0:c r="O6" s="7" t="str">
        <ns0:f aca="0">IF(N6&gt;=9,"Alto (extremo superior)",IF(N6&gt;=6,"Alto",IF(N6&gt;=3,"Moderado","Baixo")))</ns0:f>
        <ns0:v>Alto</ns0:v>
      </ns0:c>
      <ns0:c r="P6" s="7" t="str">
        <ns0:v>Sim (fraude presumida; V12-01 validada em 22/10/2026)</ns0:v>
      </ns0:c>
      <ns0:c r="Q6" s="7" t="s">
        <ns0:v>33</ns0:v>
      </ns0:c>
      <ns0:c r="R6" s="7" t="str">
        <ns0:f aca="0">O6</ns0:f>
        <ns0:v>Alto</ns0:v>
      </ns0:c>
      <ns0:c r="S6" s="7" t="s">
        <ns0:v>52</ns0:v>
      </ns0:c>
      <ns0:c r="T6" s="7" t="s">
        <ns0:v>53</ns0:v>
      </ns0:c>
      <ns0:c r="U6" s="7" t="str">
        <ns0:v>REC-04: analítico público somente de planejamento PT520; teste de detalhes contratual real [PA], PT330/540/500; TD-05 sintético não confirma taxa contratual.</ns0:v>
      </ns0:c>
    </ns0:row>
    <ns0:row r="7" ht="26.399999618530273" hidden="0" customHeight="1">
      <ns0:c r="A7" s="7" t="s">
        <ns0:v>54</ns0:v>
      </ns0:c>
      <ns0:c r="B7" s="7" t="s">
        <ns0:v>55</ns0:v>
      </ns0:c>
      <ns0:c r="C7" s="7" t="s">
        <ns0:v>56</ns0:v>
      </ns0:c>
      <ns0:c r="D7" s="9" t="n">
        <ns0:v>159463</ns0:v>
      </ns0:c>
      <ns0:c r="E7" s="9" t="n">
        <ns0:v>1152707</ns0:v>
      </ns0:c>
      <ns0:c r="F7" s="10">
        <ns0:f aca="0">IF(OR(D7="",E7="",E7=0),"",D7/E7-1)</ns0:f>
        <ns0:v>-0.861662156992193</ns0:v>
      </ns0:c>
      <ns0:c r="G7" s="11">
        <ns0:f aca="0">IF(D7="","",D7/$B$2)</ns0:f>
        <ns0:v>1.14721582733813</ns0:v>
      </ns0:c>
      <ns0:c r="H7" s="7" t="str">
        <ns0:f aca="0">IF(D7="","qualitativo",IF(D7&gt;=$D$2,"Sim","Não"))</ns0:f>
        <ns0:v>Sim</ns0:v>
      </ns0:c>
      <ns0:c r="I7" s="7" t="s">
        <ns0:v>57</ns0:v>
      </ns0:c>
      <ns0:c r="J7" s="7" t="s">
        <ns0:v>58</ns0:v>
      </ns0:c>
      <ns0:c r="K7" s="7" t="s">
        <ns0:v>59</ns0:v>
      </ns0:c>
      <ns0:c r="L7" s="12" t="n">
        <ns0:v>2</ns0:v>
      </ns0:c>
      <ns0:c r="M7" s="12" t="n">
        <ns0:v>2</ns0:v>
      </ns0:c>
      <ns0:c r="N7" s="7">
        <ns0:f aca="0">L7*M7</ns0:f>
        <ns0:v>4</ns0:v>
      </ns0:c>
      <ns0:c r="O7" s="7" t="str">
        <ns0:f aca="0">IF(N7&gt;=9,"Alto (extremo superior)",IF(N7&gt;=6,"Alto",IF(N7&gt;=3,"Moderado","Baixo")))</ns0:f>
        <ns0:v>Moderado</ns0:v>
      </ns0:c>
      <ns0:c r="P7" s="7" t="s">
        <ns0:v>60</ns0:v>
      </ns0:c>
      <ns0:c r="Q7" s="7" t="s">
        <ns0:v>33</ns0:v>
      </ns0:c>
      <ns0:c r="R7" s="7" t="str">
        <ns0:f aca="0">O7</ns0:f>
        <ns0:v>Moderado</ns0:v>
      </ns0:c>
      <ns0:c r="S7" s="7" t="s">
        <ns0:v>61</ns0:v>
      </ns0:c>
      <ns0:c r="T7" s="7" t="s">
        <ns0:v>62</ns0:v>
      </ns0:c>
      <ns0:c r="U7" s="7" t="s">
        <ns0:v>63</ns0:v>
      </ns0:c>
    </ns0:row>
    <ns0:row r="8" ht="26.399999618530273" hidden="0" customHeight="1">
      <ns0:c r="A8" s="7" t="s">
        <ns0:v>64</ns0:v>
      </ns0:c>
      <ns0:c r="B8" s="7" t="s">
        <ns0:v>65</ns0:v>
      </ns0:c>
      <ns0:c r="C8" s="7" t="s">
        <ns0:v>66</ns0:v>
      </ns0:c>
      <ns0:c r="D8" s="9" t="n">
        <ns0:v>2760806</ns0:v>
      </ns0:c>
      <ns0:c r="E8" s="9" t="n">
        <ns0:v>2564527</ns0:v>
      </ns0:c>
      <ns0:c r="F8" s="10">
        <ns0:f aca="0">IF(OR(D8="",E8="",E8=0),"",D8/E8-1)</ns0:f>
        <ns0:v>0.0765361409725849</ns0:v>
      </ns0:c>
      <ns0:c r="G8" s="11">
        <ns0:f aca="0">IF(D8="","",D8/$B$2)</ns0:f>
        <ns0:v>19.8619136690647</ns0:v>
      </ns0:c>
      <ns0:c r="H8" s="7" t="str">
        <ns0:f aca="0">IF(D8="","qualitativo",IF(D8&gt;=$D$2,"Sim","Não"))</ns0:f>
        <ns0:v>Sim</ns0:v>
      </ns0:c>
      <ns0:c r="I8" s="7" t="s">
        <ns0:v>67</ns0:v>
      </ns0:c>
      <ns0:c r="J8" s="7" t="s">
        <ns0:v>68</ns0:v>
      </ns0:c>
      <ns0:c r="K8" s="7" t="s">
        <ns0:v>69</ns0:v>
      </ns0:c>
      <ns0:c r="L8" s="12" t="n">
        <ns0:v>3</ns0:v>
      </ns0:c>
      <ns0:c r="M8" s="12" t="n">
        <ns0:v>3</ns0:v>
      </ns0:c>
      <ns0:c r="N8" s="7">
        <ns0:f aca="0">L8*M8</ns0:f>
        <ns0:v>9</ns0:v>
      </ns0:c>
      <ns0:c r="O8" s="7" t="str">
        <ns0:f aca="0">IF(N8&gt;=9,"Alto (extremo superior)",IF(N8&gt;=6,"Alto",IF(N8&gt;=3,"Moderado","Baixo")))</ns0:f>
        <ns0:v>Alto (extremo superior)</ns0:v>
      </ns0:c>
      <ns0:c r="P8" s="7" t="s">
        <ns0:v>70</ns0:v>
      </ns0:c>
      <ns0:c r="Q8" s="7" t="s">
        <ns0:v>33</ns0:v>
      </ns0:c>
      <ns0:c r="R8" s="7" t="str">
        <ns0:f aca="0">O8</ns0:f>
        <ns0:v>Alto (extremo superior)</ns0:v>
      </ns0:c>
      <ns0:c r="S8" s="7" t="s">
        <ns0:v>71</ns0:v>
      </ns0:c>
      <ns0:c r="T8" s="7" t="s">
        <ns0:v>72</ns0:v>
      </ns0:c>
      <ns0:c r="U8" s="7" t="s">
        <ns0:v>73</ns0:v>
      </ns0:c>
    </ns0:row>
    <ns0:row r="9" ht="39.599998474121094" hidden="0" customHeight="1">
      <ns0:c r="A9" s="7" t="s">
        <ns0:v>74</ns0:v>
      </ns0:c>
      <ns0:c r="B9" s="7" t="s">
        <ns0:v>75</ns0:v>
      </ns0:c>
      <ns0:c r="C9" s="7" t="s">
        <ns0:v>76</ns0:v>
      </ns0:c>
      <ns0:c r="D9" s="9" t="n">
        <ns0:v>15951713</ns0:v>
      </ns0:c>
      <ns0:c r="E9" s="9" t="n">
        <ns0:v>13236295</ns0:v>
      </ns0:c>
      <ns0:c r="F9" s="10">
        <ns0:f aca="0">IF(OR(D9="",E9="",E9=0),"",D9/E9-1)</ns0:f>
        <ns0:v>0.205149401701911</ns0:v>
      </ns0:c>
      <ns0:c r="G9" s="11">
        <ns0:f aca="0">IF(D9="","",D9/$B$2)</ns0:f>
        <ns0:v>114.760525179856</ns0:v>
      </ns0:c>
      <ns0:c r="H9" s="7" t="str">
        <ns0:f aca="0">IF(D9="","qualitativo",IF(D9&gt;=$D$2,"Sim","Não"))</ns0:f>
        <ns0:v>Sim</ns0:v>
      </ns0:c>
      <ns0:c r="I9" s="7" t="s">
        <ns0:v>77</ns0:v>
      </ns0:c>
      <ns0:c r="J9" s="7" t="s">
        <ns0:v>78</ns0:v>
      </ns0:c>
      <ns0:c r="K9" s="7" t="s">
        <ns0:v>79</ns0:v>
      </ns0:c>
      <ns0:c r="L9" s="12" t="n">
        <ns0:v>2</ns0:v>
      </ns0:c>
      <ns0:c r="M9" s="12" t="n">
        <ns0:v>3</ns0:v>
      </ns0:c>
      <ns0:c r="N9" s="7">
        <ns0:f aca="0">L9*M9</ns0:f>
        <ns0:v>6</ns0:v>
      </ns0:c>
      <ns0:c r="O9" s="7" t="str">
        <ns0:f aca="0">IF(N9&gt;=9,"Alto (extremo superior)",IF(N9&gt;=6,"Alto",IF(N9&gt;=3,"Moderado","Baixo")))</ns0:f>
        <ns0:v>Alto</ns0:v>
      </ns0:c>
      <ns0:c r="P9" s="7" t="s">
        <ns0:v>60</ns0:v>
      </ns0:c>
      <ns0:c r="Q9" s="7" t="s">
        <ns0:v>33</ns0:v>
      </ns0:c>
      <ns0:c r="R9" s="7" t="str">
        <ns0:f aca="0">O9</ns0:f>
        <ns0:v>Alto</ns0:v>
      </ns0:c>
      <ns0:c r="S9" s="7" t="s">
        <ns0:v>80</ns0:v>
      </ns0:c>
      <ns0:c r="T9" s="7" t="s">
        <ns0:v>81</ns0:v>
      </ns0:c>
      <ns0:c r="U9" s="7" t="s">
        <ns0:v>82</ns0:v>
      </ns0:c>
    </ns0:row>
    <ns0:row r="10" ht="26.399999618530273" hidden="0" customHeight="1">
      <ns0:c r="A10" s="7" t="s">
        <ns0:v>83</ns0:v>
      </ns0:c>
      <ns0:c r="B10" s="7" t="s">
        <ns0:v>84</ns0:v>
      </ns0:c>
      <ns0:c r="C10" s="7" t="s">
        <ns0:v>85</ns0:v>
      </ns0:c>
      <ns0:c r="D10" s="9" t="n">
        <ns0:v>8253725</ns0:v>
      </ns0:c>
      <ns0:c r="E10" s="9" t="n">
        <ns0:v>7668681</ns0:v>
      </ns0:c>
      <ns0:c r="F10" s="10">
        <ns0:f aca="0">IF(OR(D10="",E10="",E10=0),"",D10/E10-1)</ns0:f>
        <ns0:v>0.0762900425770743</ns0:v>
      </ns0:c>
      <ns0:c r="G10" s="11">
        <ns0:f aca="0">IF(D10="","",D10/$B$2)</ns0:f>
        <ns0:v>59.3793165467626</ns0:v>
      </ns0:c>
      <ns0:c r="H10" s="7" t="str">
        <ns0:f aca="0">IF(D10="","qualitativo",IF(D10&gt;=$D$2,"Sim","Não"))</ns0:f>
        <ns0:v>Sim</ns0:v>
      </ns0:c>
      <ns0:c r="I10" s="7" t="s">
        <ns0:v>86</ns0:v>
      </ns0:c>
      <ns0:c r="J10" s="7" t="s">
        <ns0:v>87</ns0:v>
      </ns0:c>
      <ns0:c r="K10" s="7" t="s">
        <ns0:v>88</ns0:v>
      </ns0:c>
      <ns0:c r="L10" s="12" t="n">
        <ns0:v>2</ns0:v>
      </ns0:c>
      <ns0:c r="M10" s="12" t="n">
        <ns0:v>2</ns0:v>
      </ns0:c>
      <ns0:c r="N10" s="7">
        <ns0:f aca="0">L10*M10</ns0:f>
        <ns0:v>4</ns0:v>
      </ns0:c>
      <ns0:c r="O10" s="7" t="str">
        <ns0:f aca="0">IF(N10&gt;=9,"Alto (extremo superior)",IF(N10&gt;=6,"Alto",IF(N10&gt;=3,"Moderado","Baixo")))</ns0:f>
        <ns0:v>Moderado</ns0:v>
      </ns0:c>
      <ns0:c r="P10" s="7" t="s">
        <ns0:v>60</ns0:v>
      </ns0:c>
      <ns0:c r="Q10" s="7" t="s">
        <ns0:v>33</ns0:v>
      </ns0:c>
      <ns0:c r="R10" s="7" t="str">
        <ns0:f aca="0">O10</ns0:f>
        <ns0:v>Moderado</ns0:v>
      </ns0:c>
      <ns0:c r="S10" s="7" t="s">
        <ns0:v>89</ns0:v>
      </ns0:c>
      <ns0:c r="T10" s="7" t="s">
        <ns0:v>90</ns0:v>
      </ns0:c>
      <ns0:c r="U10" s="7" t="s">
        <ns0:v>91</ns0:v>
      </ns0:c>
    </ns0:row>
    <ns0:row r="11" ht="26.399999618530273" hidden="0" customHeight="1">
      <ns0:c r="A11" s="7" t="s">
        <ns0:v>92</ns0:v>
      </ns0:c>
      <ns0:c r="B11" s="7" t="s">
        <ns0:v>93</ns0:v>
      </ns0:c>
      <ns0:c r="C11" s="7" t="s">
        <ns0:v>94</ns0:v>
      </ns0:c>
      <ns0:c r="D11" s="9" t="n">
        <ns0:v>4154815</ns0:v>
      </ns0:c>
      <ns0:c r="E11" s="9" t="n">
        <ns0:v>4354888</ns0:v>
      </ns0:c>
      <ns0:c r="F11" s="10">
        <ns0:f aca="0">IF(OR(D11="",E11="",E11=0),"",D11/E11-1)</ns0:f>
        <ns0:v>-0.0459421688915995</ns0:v>
      </ns0:c>
      <ns0:c r="G11" s="11">
        <ns0:f aca="0">IF(D11="","",D11/$B$2)</ns0:f>
        <ns0:v>29.8907553956835</ns0:v>
      </ns0:c>
      <ns0:c r="H11" s="7" t="str">
        <ns0:f aca="0">IF(D11="","qualitativo",IF(D11&gt;=$D$2,"Sim","Não"))</ns0:f>
        <ns0:v>Sim</ns0:v>
      </ns0:c>
      <ns0:c r="I11" s="7" t="s">
        <ns0:v>95</ns0:v>
      </ns0:c>
      <ns0:c r="J11" s="7" t="s">
        <ns0:v>96</ns0:v>
      </ns0:c>
      <ns0:c r="K11" s="7" t="s">
        <ns0:v>97</ns0:v>
      </ns0:c>
      <ns0:c r="L11" s="12" t="n">
        <ns0:v>2</ns0:v>
      </ns0:c>
      <ns0:c r="M11" s="12" t="n">
        <ns0:v>2</ns0:v>
      </ns0:c>
      <ns0:c r="N11" s="7">
        <ns0:f aca="0">L11*M11</ns0:f>
        <ns0:v>4</ns0:v>
      </ns0:c>
      <ns0:c r="O11" s="7" t="str">
        <ns0:f aca="0">IF(N11&gt;=9,"Alto (extremo superior)",IF(N11&gt;=6,"Alto",IF(N11&gt;=3,"Moderado","Baixo")))</ns0:f>
        <ns0:v>Moderado</ns0:v>
      </ns0:c>
      <ns0:c r="P11" s="7" t="s">
        <ns0:v>60</ns0:v>
      </ns0:c>
      <ns0:c r="Q11" s="7" t="s">
        <ns0:v>33</ns0:v>
      </ns0:c>
      <ns0:c r="R11" s="7" t="str">
        <ns0:f aca="0">O11</ns0:f>
        <ns0:v>Moderado</ns0:v>
      </ns0:c>
      <ns0:c r="S11" s="7" t="s">
        <ns0:v>98</ns0:v>
      </ns0:c>
      <ns0:c r="T11" s="7" t="s">
        <ns0:v>99</ns0:v>
      </ns0:c>
      <ns0:c r="U11" s="7" t="s">
        <ns0:v>100</ns0:v>
      </ns0:c>
    </ns0:row>
    <ns0:row r="12" ht="26.399999618530273" hidden="0" customHeight="1">
      <ns0:c r="A12" s="7" t="s">
        <ns0:v>101</ns0:v>
      </ns0:c>
      <ns0:c r="B12" s="7" t="s">
        <ns0:v>102</ns0:v>
      </ns0:c>
      <ns0:c r="C12" s="7" t="s">
        <ns0:v>103</ns0:v>
      </ns0:c>
      <ns0:c r="D12" s="9" t="n">
        <ns0:v>163035</ns0:v>
      </ns0:c>
      <ns0:c r="E12" s="9" t="n">
        <ns0:v>197271</ns0:v>
      </ns0:c>
      <ns0:c r="F12" s="10">
        <ns0:f aca="0">IF(OR(D12="",E12="",E12=0),"",D12/E12-1)</ns0:f>
        <ns0:v>-0.173548063324057</ns0:v>
      </ns0:c>
      <ns0:c r="G12" s="11">
        <ns0:f aca="0">IF(D12="","",D12/$B$2)</ns0:f>
        <ns0:v>1.17291366906475</ns0:v>
      </ns0:c>
      <ns0:c r="H12" s="7" t="str">
        <ns0:f aca="0">IF(D12="","qualitativo",IF(D12&gt;=$D$2,"Sim","Não"))</ns0:f>
        <ns0:v>Sim</ns0:v>
      </ns0:c>
      <ns0:c r="I12" s="7" t="s">
        <ns0:v>104</ns0:v>
      </ns0:c>
      <ns0:c r="J12" s="7" t="s">
        <ns0:v>105</ns0:v>
      </ns0:c>
      <ns0:c r="K12" s="7" t="s">
        <ns0:v>106</ns0:v>
      </ns0:c>
      <ns0:c r="L12" s="12" t="n">
        <ns0:v>2</ns0:v>
      </ns0:c>
      <ns0:c r="M12" s="12" t="n">
        <ns0:v>2</ns0:v>
      </ns0:c>
      <ns0:c r="N12" s="7">
        <ns0:f aca="0">L12*M12</ns0:f>
        <ns0:v>4</ns0:v>
      </ns0:c>
      <ns0:c r="O12" s="7" t="str">
        <ns0:f aca="0">IF(N12&gt;=9,"Alto (extremo superior)",IF(N12&gt;=6,"Alto",IF(N12&gt;=3,"Moderado","Baixo")))</ns0:f>
        <ns0:v>Moderado</ns0:v>
      </ns0:c>
      <ns0:c r="P12" s="7" t="s">
        <ns0:v>60</ns0:v>
      </ns0:c>
      <ns0:c r="Q12" s="7" t="s">
        <ns0:v>33</ns0:v>
      </ns0:c>
      <ns0:c r="R12" s="7" t="str">
        <ns0:f aca="0">O12</ns0:f>
        <ns0:v>Moderado</ns0:v>
      </ns0:c>
      <ns0:c r="S12" s="7" t="s">
        <ns0:v>107</ns0:v>
      </ns0:c>
      <ns0:c r="T12" s="7" t="s">
        <ns0:v>108</ns0:v>
      </ns0:c>
      <ns0:c r="U12" s="7" t="s">
        <ns0:v>109</ns0:v>
      </ns0:c>
    </ns0:row>
    <ns0:row r="13" ht="26.399999618530273" hidden="0" customHeight="1">
      <ns0:c r="A13" s="7" t="s">
        <ns0:v>110</ns0:v>
      </ns0:c>
      <ns0:c r="B13" s="7" t="s">
        <ns0:v>111</ns0:v>
      </ns0:c>
      <ns0:c r="C13" s="7" t="s">
        <ns0:v>112</ns0:v>
      </ns0:c>
      <ns0:c r="D13" s="9" t="n">
        <ns0:v>2164986</ns0:v>
      </ns0:c>
      <ns0:c r="E13" s="9" t="n">
        <ns0:v>3400742</ns0:v>
      </ns0:c>
      <ns0:c r="F13" s="10">
        <ns0:f aca="0">IF(OR(D13="",E13="",E13=0),"",D13/E13-1)</ns0:f>
        <ns0:v>-0.363378345078809</ns0:v>
      </ns0:c>
      <ns0:c r="G13" s="11">
        <ns0:f aca="0">IF(D13="","",D13/$B$2)</ns0:f>
        <ns0:v>15.5754388489209</ns0:v>
      </ns0:c>
      <ns0:c r="H13" s="7" t="str">
        <ns0:f aca="0">IF(D13="","qualitativo",IF(D13&gt;=$D$2,"Sim","Não"))</ns0:f>
        <ns0:v>Sim</ns0:v>
      </ns0:c>
      <ns0:c r="I13" s="7" t="s">
        <ns0:v>113</ns0:v>
      </ns0:c>
      <ns0:c r="J13" s="7" t="s">
        <ns0:v>114</ns0:v>
      </ns0:c>
      <ns0:c r="K13" s="7" t="s">
        <ns0:v>115</ns0:v>
      </ns0:c>
      <ns0:c r="L13" s="12" t="n">
        <ns0:v>1</ns0:v>
      </ns0:c>
      <ns0:c r="M13" s="12" t="n">
        <ns0:v>2</ns0:v>
      </ns0:c>
      <ns0:c r="N13" s="7">
        <ns0:f aca="0">L13*M13</ns0:f>
        <ns0:v>2</ns0:v>
      </ns0:c>
      <ns0:c r="O13" s="7" t="str">
        <ns0:f aca="0">IF(N13&gt;=9,"Alto (extremo superior)",IF(N13&gt;=6,"Alto",IF(N13&gt;=3,"Moderado","Baixo")))</ns0:f>
        <ns0:v>Baixo</ns0:v>
      </ns0:c>
      <ns0:c r="P13" s="7" t="s">
        <ns0:v>60</ns0:v>
      </ns0:c>
      <ns0:c r="Q13" s="7" t="s">
        <ns0:v>33</ns0:v>
      </ns0:c>
      <ns0:c r="R13" s="7" t="str">
        <ns0:f aca="0">O13</ns0:f>
        <ns0:v>Baixo</ns0:v>
      </ns0:c>
      <ns0:c r="S13" s="7" t="s">
        <ns0:v>116</ns0:v>
      </ns0:c>
      <ns0:c r="T13" s="7" t="s">
        <ns0:v>117</ns0:v>
      </ns0:c>
      <ns0:c r="U13" s="7" t="s">
        <ns0:v>118</ns0:v>
      </ns0:c>
    </ns0:row>
    <ns0:row r="14" ht="26.399999618530273" hidden="0" customHeight="1">
      <ns0:c r="A14" s="7" t="s">
        <ns0:v>119</ns0:v>
      </ns0:c>
      <ns0:c r="B14" s="7" t="s">
        <ns0:v>120</ns0:v>
      </ns0:c>
      <ns0:c r="C14" s="7" t="s">
        <ns0:v>121</ns0:v>
      </ns0:c>
      <ns0:c r="D14" s="9" t="n">
        <ns0:v>126579</ns0:v>
      </ns0:c>
      <ns0:c r="E14" s="9" t="n">
        <ns0:v>142546</ns0:v>
      </ns0:c>
      <ns0:c r="F14" s="10">
        <ns0:f aca="0">IF(OR(D14="",E14="",E14=0),"",D14/E14-1)</ns0:f>
        <ns0:v>-0.112012964236106</ns0:v>
      </ns0:c>
      <ns0:c r="G14" s="11">
        <ns0:f aca="0">IF(D14="","",D14/$B$2)</ns0:f>
        <ns0:v>0.910640287769784</ns0:v>
      </ns0:c>
      <ns0:c r="H14" s="7" t="str">
        <ns0:f aca="0">IF(D14="","qualitativo",IF(D14&gt;=$D$2,"Sim","Não"))</ns0:f>
        <ns0:v>Sim</ns0:v>
      </ns0:c>
      <ns0:c r="I14" s="7" t="s">
        <ns0:v>122</ns0:v>
      </ns0:c>
      <ns0:c r="J14" s="7" t="s">
        <ns0:v>123</ns0:v>
      </ns0:c>
      <ns0:c r="K14" s="7" t="s">
        <ns0:v>124</ns0:v>
      </ns0:c>
      <ns0:c r="L14" s="12" t="n">
        <ns0:v>2</ns0:v>
      </ns0:c>
      <ns0:c r="M14" s="12" t="n">
        <ns0:v>2</ns0:v>
      </ns0:c>
      <ns0:c r="N14" s="7">
        <ns0:f aca="0">L14*M14</ns0:f>
        <ns0:v>4</ns0:v>
      </ns0:c>
      <ns0:c r="O14" s="7" t="str">
        <ns0:f aca="0">IF(N14&gt;=9,"Alto (extremo superior)",IF(N14&gt;=6,"Alto",IF(N14&gt;=3,"Moderado","Baixo")))</ns0:f>
        <ns0:v>Moderado</ns0:v>
      </ns0:c>
      <ns0:c r="P14" s="7" t="s">
        <ns0:v>60</ns0:v>
      </ns0:c>
      <ns0:c r="Q14" s="7" t="s">
        <ns0:v>33</ns0:v>
      </ns0:c>
      <ns0:c r="R14" s="7" t="str">
        <ns0:f aca="0">O14</ns0:f>
        <ns0:v>Moderado</ns0:v>
      </ns0:c>
      <ns0:c r="S14" s="7" t="s">
        <ns0:v>125</ns0:v>
      </ns0:c>
      <ns0:c r="T14" s="7" t="s">
        <ns0:v>126</ns0:v>
      </ns0:c>
      <ns0:c r="U14" s="7" t="s">
        <ns0:v>127</ns0:v>
      </ns0:c>
    </ns0:row>
    <ns0:row r="15" ht="26.399999618530273" hidden="0" customHeight="1">
      <ns0:c r="A15" s="7" t="s">
        <ns0:v>128</ns0:v>
      </ns0:c>
      <ns0:c r="B15" s="7" t="s">
        <ns0:v>129</ns0:v>
      </ns0:c>
      <ns0:c r="C15" s="7" t="s">
        <ns0:v>130</ns0:v>
      </ns0:c>
      <ns0:c r="D15" s="9" t="n">
        <ns0:v>17537</ns0:v>
      </ns0:c>
      <ns0:c r="E15" s="9" t="n">
        <ns0:v>17077</ns0:v>
      </ns0:c>
      <ns0:c r="F15" s="10">
        <ns0:f aca="0">IF(OR(D15="",E15="",E15=0),"",D15/E15-1)</ns0:f>
        <ns0:v>0.0269368155999297</ns0:v>
      </ns0:c>
      <ns0:c r="G15" s="11">
        <ns0:f aca="0">IF(D15="","",D15/$B$2)</ns0:f>
        <ns0:v>0.126165467625899</ns0:v>
      </ns0:c>
      <ns0:c r="H15" s="7" t="str">
        <ns0:f aca="0">IF(D15="","qualitativo",IF(D15&gt;=$D$2,"Sim","Não"))</ns0:f>
        <ns0:v>Não</ns0:v>
      </ns0:c>
      <ns0:c r="I15" s="7" t="s">
        <ns0:v>131</ns0:v>
      </ns0:c>
      <ns0:c r="J15" s="7" t="s">
        <ns0:v>132</ns0:v>
      </ns0:c>
      <ns0:c r="K15" s="7" t="s">
        <ns0:v>133</ns0:v>
      </ns0:c>
      <ns0:c r="L15" s="12" t="n">
        <ns0:v>1</ns0:v>
      </ns0:c>
      <ns0:c r="M15" s="12" t="n">
        <ns0:v>1</ns0:v>
      </ns0:c>
      <ns0:c r="N15" s="7">
        <ns0:f aca="0">L15*M15</ns0:f>
        <ns0:v>1</ns0:v>
      </ns0:c>
      <ns0:c r="O15" s="7" t="str">
        <ns0:f aca="0">IF(N15&gt;=9,"Alto (extremo superior)",IF(N15&gt;=6,"Alto",IF(N15&gt;=3,"Moderado","Baixo")))</ns0:f>
        <ns0:v>Baixo</ns0:v>
      </ns0:c>
      <ns0:c r="P15" s="7" t="s">
        <ns0:v>60</ns0:v>
      </ns0:c>
      <ns0:c r="Q15" s="7" t="s">
        <ns0:v>33</ns0:v>
      </ns0:c>
      <ns0:c r="R15" s="7" t="str">
        <ns0:f aca="0">O15</ns0:f>
        <ns0:v>Baixo</ns0:v>
      </ns0:c>
      <ns0:c r="S15" s="7" t="s">
        <ns0:v>134</ns0:v>
      </ns0:c>
      <ns0:c r="T15" s="7" t="s">
        <ns0:v>135</ns0:v>
      </ns0:c>
      <ns0:c r="U15" s="7" t="s">
        <ns0:v>127</ns0:v>
      </ns0:c>
    </ns0:row>
    <ns0:row r="16" ht="39.599998474121094" hidden="0" customHeight="1">
      <ns0:c r="A16" s="7" t="s">
        <ns0:v>136</ns0:v>
      </ns0:c>
      <ns0:c r="B16" s="7" t="s">
        <ns0:v>137</ns0:v>
      </ns0:c>
      <ns0:c r="C16" s="7" t="s">
        <ns0:v>56</ns0:v>
      </ns0:c>
      <ns0:c r="D16" s="9" t="n">
        <ns0:v>167575</ns0:v>
      </ns0:c>
      <ns0:c r="E16" s="9" t="n">
        <ns0:v>234728</ns0:v>
      </ns0:c>
      <ns0:c r="F16" s="10">
        <ns0:f aca="0">IF(OR(D16="",E16="",E16=0),"",D16/E16-1)</ns0:f>
        <ns0:v>-0.286088579121366</ns0:v>
      </ns0:c>
      <ns0:c r="G16" s="11">
        <ns0:f aca="0">IF(D16="","",D16/$B$2)</ns0:f>
        <ns0:v>1.20557553956835</ns0:v>
      </ns0:c>
      <ns0:c r="H16" s="7" t="str">
        <ns0:f aca="0">IF(D16="","qualitativo",IF(D16&gt;=$D$2,"Sim","Não"))</ns0:f>
        <ns0:v>Sim</ns0:v>
      </ns0:c>
      <ns0:c r="I16" s="7" t="s">
        <ns0:v>138</ns0:v>
      </ns0:c>
      <ns0:c r="J16" s="7" t="s">
        <ns0:v>139</ns0:v>
      </ns0:c>
      <ns0:c r="K16" s="7" t="s">
        <ns0:v>140</ns0:v>
      </ns0:c>
      <ns0:c r="L16" s="12" t="n">
        <ns0:v>1</ns0:v>
      </ns0:c>
      <ns0:c r="M16" s="12" t="n">
        <ns0:v>2</ns0:v>
      </ns0:c>
      <ns0:c r="N16" s="7">
        <ns0:f aca="0">L16*M16</ns0:f>
        <ns0:v>2</ns0:v>
      </ns0:c>
      <ns0:c r="O16" s="7" t="str">
        <ns0:f aca="0">IF(N16&gt;=9,"Alto (extremo superior)",IF(N16&gt;=6,"Alto",IF(N16&gt;=3,"Moderado","Baixo")))</ns0:f>
        <ns0:v>Baixo</ns0:v>
      </ns0:c>
      <ns0:c r="P16" s="7" t="s">
        <ns0:v>60</ns0:v>
      </ns0:c>
      <ns0:c r="Q16" s="7" t="s">
        <ns0:v>33</ns0:v>
      </ns0:c>
      <ns0:c r="R16" s="7" t="str">
        <ns0:f aca="0">O16</ns0:f>
        <ns0:v>Baixo</ns0:v>
      </ns0:c>
      <ns0:c r="S16" s="7" t="s">
        <ns0:v>116</ns0:v>
      </ns0:c>
      <ns0:c r="T16" s="7" t="s">
        <ns0:v>141</ns0:v>
      </ns0:c>
      <ns0:c r="U16" s="7" t="s">
        <ns0:v>142</ns0:v>
      </ns0:c>
    </ns0:row>
    <ns0:row r="17" ht="26.399999618530273" hidden="0" customHeight="1">
      <ns0:c r="A17" s="7" t="s">
        <ns0:v>143</ns0:v>
      </ns0:c>
      <ns0:c r="B17" s="7" t="s">
        <ns0:v>144</ns0:v>
      </ns0:c>
      <ns0:c r="C17" s="7" t="s">
        <ns0:v>145</ns0:v>
      </ns0:c>
      <ns0:c r="D17" s="9" t="n">
        <ns0:v>616359</ns0:v>
      </ns0:c>
      <ns0:c r="E17" s="9" t="n">
        <ns0:v>592078</ns0:v>
      </ns0:c>
      <ns0:c r="F17" s="10">
        <ns0:f aca="0">IF(OR(D17="",E17="",E17=0),"",D17/E17-1)</ns0:f>
        <ns0:v>0.0410097993845406</ns0:v>
      </ns0:c>
      <ns0:c r="G17" s="11">
        <ns0:f aca="0">IF(D17="","",D17/$B$2)</ns0:f>
        <ns0:v>4.43423741007194</ns0:v>
      </ns0:c>
      <ns0:c r="H17" s="7" t="str">
        <ns0:f aca="0">IF(D17="","qualitativo",IF(D17&gt;=$D$2,"Sim","Não"))</ns0:f>
        <ns0:v>Sim</ns0:v>
      </ns0:c>
      <ns0:c r="I17" s="7" t="s">
        <ns0:v>146</ns0:v>
      </ns0:c>
      <ns0:c r="J17" s="7" t="s">
        <ns0:v>139</ns0:v>
      </ns0:c>
      <ns0:c r="K17" s="7" t="s">
        <ns0:v>147</ns0:v>
      </ns0:c>
      <ns0:c r="L17" s="12" t="n">
        <ns0:v>1</ns0:v>
      </ns0:c>
      <ns0:c r="M17" s="12" t="n">
        <ns0:v>1</ns0:v>
      </ns0:c>
      <ns0:c r="N17" s="7">
        <ns0:f aca="0">L17*M17</ns0:f>
        <ns0:v>1</ns0:v>
      </ns0:c>
      <ns0:c r="O17" s="7" t="str">
        <ns0:f aca="0">IF(N17&gt;=9,"Alto (extremo superior)",IF(N17&gt;=6,"Alto",IF(N17&gt;=3,"Moderado","Baixo")))</ns0:f>
        <ns0:v>Baixo</ns0:v>
      </ns0:c>
      <ns0:c r="P17" s="7" t="s">
        <ns0:v>60</ns0:v>
      </ns0:c>
      <ns0:c r="Q17" s="7" t="s">
        <ns0:v>33</ns0:v>
      </ns0:c>
      <ns0:c r="R17" s="7" t="str">
        <ns0:f aca="0">O17</ns0:f>
        <ns0:v>Baixo</ns0:v>
      </ns0:c>
      <ns0:c r="S17" s="7" t="s">
        <ns0:v>116</ns0:v>
      </ns0:c>
      <ns0:c r="T17" s="7" t="s">
        <ns0:v>56</ns0:v>
      </ns0:c>
      <ns0:c r="U17" s="7" t="s">
        <ns0:v>148</ns0:v>
      </ns0:c>
    </ns0:row>
    <ns0:row r="18" ht="26.399999618530273" hidden="0" customHeight="1">
      <ns0:c r="A18" s="7" t="s">
        <ns0:v>149</ns0:v>
      </ns0:c>
      <ns0:c r="B18" s="7" t="s">
        <ns0:v>150</ns0:v>
      </ns0:c>
      <ns0:c r="C18" s="7" t="s">
        <ns0:v>56</ns0:v>
      </ns0:c>
      <ns0:c r="D18" s="9" t="n">
        <ns0:v>464905</ns0:v>
      </ns0:c>
      <ns0:c r="E18" s="9"/>
      <ns0:c r="F18" s="10">
        <ns0:f aca="0">IF(OR(D18="",E18="",E18=0),"",D18/E18-1)</ns0:f>
        <ns0:v/>
      </ns0:c>
      <ns0:c r="G18" s="11">
        <ns0:f aca="0">IF(D18="","",D18/$B$2)</ns0:f>
        <ns0:v>3.34464028776978</ns0:v>
      </ns0:c>
      <ns0:c r="H18" s="7" t="str">
        <ns0:f aca="0">IF(D18="","qualitativo",IF(D18&gt;=$D$2,"Sim","Não"))</ns0:f>
        <ns0:v>Sim</ns0:v>
      </ns0:c>
      <ns0:c r="I18" s="7" t="s">
        <ns0:v>77</ns0:v>
      </ns0:c>
      <ns0:c r="J18" s="7" t="s">
        <ns0:v>151</ns0:v>
      </ns0:c>
      <ns0:c r="K18" s="7" t="s">
        <ns0:v>152</ns0:v>
      </ns0:c>
      <ns0:c r="L18" s="12" t="n">
        <ns0:v>2</ns0:v>
      </ns0:c>
      <ns0:c r="M18" s="12" t="n">
        <ns0:v>2</ns0:v>
      </ns0:c>
      <ns0:c r="N18" s="7">
        <ns0:f aca="0">L18*M18</ns0:f>
        <ns0:v>4</ns0:v>
      </ns0:c>
      <ns0:c r="O18" s="7" t="str">
        <ns0:f aca="0">IF(N18&gt;=9,"Alto (extremo superior)",IF(N18&gt;=6,"Alto",IF(N18&gt;=3,"Moderado","Baixo")))</ns0:f>
        <ns0:v>Moderado</ns0:v>
      </ns0:c>
      <ns0:c r="P18" s="7" t="s">
        <ns0:v>60</ns0:v>
      </ns0:c>
      <ns0:c r="Q18" s="7" t="s">
        <ns0:v>33</ns0:v>
      </ns0:c>
      <ns0:c r="R18" s="7" t="str">
        <ns0:f aca="0">O18</ns0:f>
        <ns0:v>Moderado</ns0:v>
      </ns0:c>
      <ns0:c r="S18" s="7" t="s">
        <ns0:v>153</ns0:v>
      </ns0:c>
      <ns0:c r="T18" s="7" t="s">
        <ns0:v>154</ns0:v>
      </ns0:c>
      <ns0:c r="U18" s="7" t="s">
        <ns0:v>155</ns0:v>
      </ns0:c>
    </ns0:row>
    <ns0:row r="19" ht="39.599998474121094" hidden="0" customHeight="1">
      <ns0:c r="A19" s="7" t="s">
        <ns0:v>156</ns0:v>
      </ns0:c>
      <ns0:c r="B19" s="7" t="s">
        <ns0:v>157</ns0:v>
      </ns0:c>
      <ns0:c r="C19" s="7" t="s">
        <ns0:v>56</ns0:v>
      </ns0:c>
      <ns0:c r="D19" s="9"/>
      <ns0:c r="E19" s="9"/>
      <ns0:c r="F19" s="10">
        <ns0:f aca="0">IF(OR(D19="",E19="",E19=0),"",D19/E19-1)</ns0:f>
        <ns0:v/>
      </ns0:c>
      <ns0:c r="G19" s="11">
        <ns0:f aca="0">IF(D19="","",D19/$B$2)</ns0:f>
        <ns0:v/>
      </ns0:c>
      <ns0:c r="H19" s="7" t="str">
        <ns0:f aca="0">IF(D19="","qualitativo",IF(D19&gt;=$D$2,"Sim","Não"))</ns0:f>
        <ns0:v>qualitativo</ns0:v>
      </ns0:c>
      <ns0:c r="I19" s="7" t="s">
        <ns0:v>158</ns0:v>
      </ns0:c>
      <ns0:c r="J19" s="7" t="s">
        <ns0:v>159</ns0:v>
      </ns0:c>
      <ns0:c r="K19" s="7" t="s">
        <ns0:v>160</ns0:v>
      </ns0:c>
      <ns0:c r="L19" s="12" t="n">
        <ns0:v>3</ns0:v>
      </ns0:c>
      <ns0:c r="M19" s="12" t="n">
        <ns0:v>3</ns0:v>
      </ns0:c>
      <ns0:c r="N19" s="7">
        <ns0:f aca="0">L19*M19</ns0:f>
        <ns0:v>9</ns0:v>
      </ns0:c>
      <ns0:c r="O19" s="7" t="str">
        <ns0:f aca="0">IF(N19&gt;=9,"Alto (extremo superior)",IF(N19&gt;=6,"Alto",IF(N19&gt;=3,"Moderado","Baixo")))</ns0:f>
        <ns0:v>Alto (extremo superior)</ns0:v>
      </ns0:c>
      <ns0:c r="P19" s="7" t="s">
        <ns0:v>161</ns0:v>
      </ns0:c>
      <ns0:c r="Q19" s="7" t="s">
        <ns0:v>33</ns0:v>
      </ns0:c>
      <ns0:c r="R19" s="7" t="str">
        <ns0:f aca="0">O19</ns0:f>
        <ns0:v>Alto (extremo superior)</ns0:v>
      </ns0:c>
      <ns0:c r="S19" s="7" t="s">
        <ns0:v>162</ns0:v>
      </ns0:c>
      <ns0:c r="T19" s="7" t="s">
        <ns0:v>163</ns0:v>
      </ns0:c>
      <ns0:c r="U19" s="7" t="s">
        <ns0:v>164</ns0:v>
      </ns0:c>
    </ns0:row>
    <ns0:row r="20" ht="52.79999923706055" hidden="0" customHeight="1">
      <ns0:c r="A20" s="7" t="s">
        <ns0:v>165</ns0:v>
      </ns0:c>
      <ns0:c r="B20" s="7" t="s">
        <ns0:v>166</ns0:v>
      </ns0:c>
      <ns0:c r="C20" s="7" t="s">
        <ns0:v>167</ns0:v>
      </ns0:c>
      <ns0:c r="D20" s="9"/>
      <ns0:c r="E20" s="9"/>
      <ns0:c r="F20" s="10">
        <ns0:f aca="0">IF(OR(D20="",E20="",E20=0),"",D20/E20-1)</ns0:f>
        <ns0:v/>
      </ns0:c>
      <ns0:c r="G20" s="11">
        <ns0:f aca="0">IF(D20="","",D20/$B$2)</ns0:f>
        <ns0:v/>
      </ns0:c>
      <ns0:c r="H20" s="7" t="str">
        <ns0:f aca="0">IF(D20="","qualitativo",IF(D20&gt;=$D$2,"Sim","Não"))</ns0:f>
        <ns0:v>qualitativo</ns0:v>
      </ns0:c>
      <ns0:c r="I20" s="7" t="s">
        <ns0:v>131</ns0:v>
      </ns0:c>
      <ns0:c r="J20" s="7" t="s">
        <ns0:v>168</ns0:v>
      </ns0:c>
      <ns0:c r="K20" s="7" t="s">
        <ns0:v>169</ns0:v>
      </ns0:c>
      <ns0:c r="L20" s="12" t="n">
        <ns0:v>3</ns0:v>
      </ns0:c>
      <ns0:c r="M20" s="12" t="n">
        <ns0:v>2</ns0:v>
      </ns0:c>
      <ns0:c r="N20" s="7">
        <ns0:f aca="0">L20*M20</ns0:f>
        <ns0:v>6</ns0:v>
      </ns0:c>
      <ns0:c r="O20" s="7" t="str">
        <ns0:f aca="0">IF(N20&gt;=9,"Alto (extremo superior)",IF(N20&gt;=6,"Alto",IF(N20&gt;=3,"Moderado","Baixo")))</ns0:f>
        <ns0:v>Alto</ns0:v>
      </ns0:c>
      <ns0:c r="P20" s="7" t="s">
        <ns0:v>60</ns0:v>
      </ns0:c>
      <ns0:c r="Q20" s="7" t="s">
        <ns0:v>33</ns0:v>
      </ns0:c>
      <ns0:c r="R20" s="7" t="str">
        <ns0:f aca="0">O20</ns0:f>
        <ns0:v>Alto</ns0:v>
      </ns0:c>
      <ns0:c r="S20" s="7" t="s">
        <ns0:v>170</ns0:v>
      </ns0:c>
      <ns0:c r="T20" s="7" t="s">
        <ns0:v>56</ns0:v>
      </ns0:c>
      <ns0:c r="U20" s="7" t="s">
        <ns0:v>171</ns0:v>
      </ns0:c>
    </ns0:row>
    <ns0:row r="21" ht="52.79999923706055" hidden="0" customHeight="1">
      <ns0:c r="A21" s="7" t="s">
        <ns0:v>172</ns0:v>
      </ns0:c>
      <ns0:c r="B21" s="7" t="s">
        <ns0:v>173</ns0:v>
      </ns0:c>
      <ns0:c r="C21" s="7" t="s">
        <ns0:v>174</ns0:v>
      </ns0:c>
      <ns0:c r="D21" s="9"/>
      <ns0:c r="E21" s="9"/>
      <ns0:c r="F21" s="10">
        <ns0:f aca="0">IF(OR(D21="",E21="",E21=0),"",D21/E21-1)</ns0:f>
        <ns0:v/>
      </ns0:c>
      <ns0:c r="G21" s="11">
        <ns0:f aca="0">IF(D21="","",D21/$B$2)</ns0:f>
        <ns0:v/>
      </ns0:c>
      <ns0:c r="H21" s="7" t="str">
        <ns0:f aca="0">IF(D21="","qualitativo",IF(D21&gt;=$D$2,"Sim","Não"))</ns0:f>
        <ns0:v>qualitativo</ns0:v>
      </ns0:c>
      <ns0:c r="I21" s="7" t="s">
        <ns0:v>175</ns0:v>
      </ns0:c>
      <ns0:c r="J21" s="7" t="s">
        <ns0:v>176</ns0:v>
      </ns0:c>
      <ns0:c r="K21" s="7" t="s">
        <ns0:v>177</ns0:v>
      </ns0:c>
      <ns0:c r="L21" s="12" t="n">
        <ns0:v>2</ns0:v>
      </ns0:c>
      <ns0:c r="M21" s="12" t="n">
        <ns0:v>2</ns0:v>
      </ns0:c>
      <ns0:c r="N21" s="7">
        <ns0:f aca="0">L21*M21</ns0:f>
        <ns0:v>4</ns0:v>
      </ns0:c>
      <ns0:c r="O21" s="7" t="str">
        <ns0:f aca="0">IF(N21&gt;=9,"Alto (extremo superior)",IF(N21&gt;=6,"Alto",IF(N21&gt;=3,"Moderado","Baixo")))</ns0:f>
        <ns0:v>Moderado</ns0:v>
      </ns0:c>
      <ns0:c r="P21" s="7" t="s">
        <ns0:v>60</ns0:v>
      </ns0:c>
      <ns0:c r="Q21" s="7" t="s">
        <ns0:v>33</ns0:v>
      </ns0:c>
      <ns0:c r="R21" s="7" t="str">
        <ns0:f aca="0">O21</ns0:f>
        <ns0:v>Moderado</ns0:v>
      </ns0:c>
      <ns0:c r="S21" s="7" t="s">
        <ns0:v>178</ns0:v>
      </ns0:c>
      <ns0:c r="T21" s="7" t="s">
        <ns0:v>179</ns0:v>
      </ns0:c>
      <ns0:c r="U21" s="7" t="s">
        <ns0:v>180</ns0:v>
      </ns0:c>
    </ns0:row>
    <ns0:row r="22" ht="26.399999618530273" hidden="0" customHeight="1">
      <ns0:c r="A22" s="7" t="s">
        <ns0:v>181</ns0:v>
      </ns0:c>
      <ns0:c r="B22" s="7" t="s">
        <ns0:v>182</ns0:v>
      </ns0:c>
      <ns0:c r="C22" s="7" t="s">
        <ns0:v>183</ns0:v>
      </ns0:c>
      <ns0:c r="D22" s="9" t="n">
        <ns0:v>285544</ns0:v>
      </ns0:c>
      <ns0:c r="E22" s="9" t="n">
        <ns0:v>356701</ns0:v>
      </ns0:c>
      <ns0:c r="F22" s="10">
        <ns0:f aca="0">IF(OR(D22="",E22="",E22=0),"",D22/E22-1)</ns0:f>
        <ns0:v>-0.199486404579746</ns0:v>
      </ns0:c>
      <ns0:c r="G22" s="11">
        <ns0:f aca="0">IF(D22="","",D22/$B$2)</ns0:f>
        <ns0:v>2.05427338129496</ns0:v>
      </ns0:c>
      <ns0:c r="H22" s="7" t="str">
        <ns0:f aca="0">IF(D22="","qualitativo",IF(D22&gt;=$D$2,"Sim","Não"))</ns0:f>
        <ns0:v>Sim</ns0:v>
      </ns0:c>
      <ns0:c r="I22" s="7" t="s">
        <ns0:v>184</ns0:v>
      </ns0:c>
      <ns0:c r="J22" s="7" t="s">
        <ns0:v>185</ns0:v>
      </ns0:c>
      <ns0:c r="K22" s="7" t="s">
        <ns0:v>186</ns0:v>
      </ns0:c>
      <ns0:c r="L22" s="12" t="n">
        <ns0:v>1</ns0:v>
      </ns0:c>
      <ns0:c r="M22" s="12" t="n">
        <ns0:v>2</ns0:v>
      </ns0:c>
      <ns0:c r="N22" s="7">
        <ns0:f aca="0">L22*M22</ns0:f>
        <ns0:v>2</ns0:v>
      </ns0:c>
      <ns0:c r="O22" s="7" t="str">
        <ns0:f aca="0">IF(N22&gt;=9,"Alto (extremo superior)",IF(N22&gt;=6,"Alto",IF(N22&gt;=3,"Moderado","Baixo")))</ns0:f>
        <ns0:v>Baixo</ns0:v>
      </ns0:c>
      <ns0:c r="P22" s="7" t="s">
        <ns0:v>60</ns0:v>
      </ns0:c>
      <ns0:c r="Q22" s="7" t="s">
        <ns0:v>33</ns0:v>
      </ns0:c>
      <ns0:c r="R22" s="7" t="str">
        <ns0:f aca="0">O22</ns0:f>
        <ns0:v>Baixo</ns0:v>
      </ns0:c>
      <ns0:c r="S22" s="7" t="s">
        <ns0:v>187</ns0:v>
      </ns0:c>
      <ns0:c r="T22" s="7" t="s">
        <ns0:v>188</ns0:v>
      </ns0:c>
      <ns0:c r="U22" s="7" t="s">
        <ns0:v>100</ns0:v>
      </ns0:c>
    </ns0:row>
    <ns0:row r="23" ht="15" hidden="0" customHeight="1">
      <ns0:c r="A23" s="7"/>
      <ns0:c r="B23" s="7"/>
      <ns0:c r="C23" s="7"/>
      <ns0:c r="D23" s="7"/>
      <ns0:c r="E23" s="7"/>
      <ns0:c r="F23" s="7"/>
      <ns0:c r="G23" s="7"/>
      <ns0:c r="H23" s="7"/>
      <ns0:c r="I23" s="7"/>
      <ns0:c r="J23" s="7"/>
      <ns0:c r="K23" s="7"/>
      <ns0:c r="L23" s="7"/>
      <ns0:c r="M23" s="7"/>
      <ns0:c r="N23" s="7"/>
      <ns0:c r="O23" s="7"/>
      <ns0:c r="P23" s="7"/>
      <ns0:c r="Q23" s="7"/>
      <ns0:c r="R23" s="7"/>
      <ns0:c r="S23" s="7"/>
      <ns0:c r="T23" s="7"/>
      <ns0:c r="U23" s="7"/>
    </ns0:row>
    <ns0:row r="24" ht="15" hidden="0" customHeight="1">
      <ns0:c r="A24" s="7" t="s">
        <ns0:v>189</ns0:v>
      </ns0:c>
      <ns0:c r="B24" s="7">
        <ns0:f aca="0">COUNTIF(P4:P22,"Sim*")</ns0:f>
        <ns0:v>5</ns0:v>
      </ns0:c>
      <ns0:c r="C24" s="7"/>
      <ns0:c r="D24" s="7"/>
      <ns0:c r="E24" s="7"/>
      <ns0:c r="F24" s="7"/>
      <ns0:c r="G24" s="7"/>
      <ns0:c r="H24" s="7"/>
      <ns0:c r="I24" s="7"/>
      <ns0:c r="J24" s="7"/>
      <ns0:c r="K24" s="7"/>
      <ns0:c r="L24" s="7"/>
      <ns0:c r="M24" s="7"/>
      <ns0:c r="N24" s="7"/>
      <ns0:c r="O24" s="7"/>
      <ns0:c r="P24" s="7"/>
      <ns0:c r="Q24" s="7"/>
      <ns0:c r="R24" s="7"/>
      <ns0:c r="S24" s="7"/>
      <ns0:c r="T24" s="7"/>
      <ns0:c r="U24" s="7"/>
    </ns0:row>
    <ns0:row r="25" ht="15" hidden="0" customHeight="1">
      <ns0:c r="A25" s="7" t="s">
        <ns0:v>190</ns0:v>
      </ns0:c>
      <ns0:c r="B25" s="7">
        <ns0:f aca="0">COUNTIF(O4:O22,"Alto*")</ns0:f>
        <ns0:v>7</ns0:v>
      </ns0:c>
      <ns0:c r="C25" s="7"/>
      <ns0:c r="D25" s="7"/>
      <ns0:c r="E25" s="7"/>
      <ns0:c r="F25" s="7"/>
      <ns0:c r="G25" s="7"/>
      <ns0:c r="H25" s="7"/>
      <ns0:c r="I25" s="7"/>
      <ns0:c r="J25" s="7"/>
      <ns0:c r="K25" s="7"/>
      <ns0:c r="L25" s="7"/>
      <ns0:c r="M25" s="7"/>
      <ns0:c r="N25" s="7"/>
      <ns0:c r="O25" s="7"/>
      <ns0:c r="P25" s="7"/>
      <ns0:c r="Q25" s="7"/>
      <ns0:c r="R25" s="7"/>
      <ns0:c r="S25" s="7"/>
      <ns0:c r="T25" s="7"/>
      <ns0:c r="U25" s="7"/>
    </ns0:row>
    <ns0:row r="26" ht="15" hidden="0" customHeight="1">
      <ns0:c r="A26" s="7" t="s">
        <ns0:v>191</ns0:v>
      </ns0:c>
      <ns0:c r="B26" s="7">
        <ns0:f aca="0">COUNTIF(H4:H22,"Sim")</ns0:f>
        <ns0:v>15</ns0:v>
      </ns0:c>
      <ns0:c r="C26" s="7"/>
      <ns0:c r="D26" s="7"/>
      <ns0:c r="E26" s="7"/>
      <ns0:c r="F26" s="7"/>
      <ns0:c r="G26" s="7"/>
      <ns0:c r="H26" s="7"/>
      <ns0:c r="I26" s="7"/>
      <ns0:c r="J26" s="7"/>
      <ns0:c r="K26" s="7"/>
      <ns0:c r="L26" s="7"/>
      <ns0:c r="M26" s="7"/>
      <ns0:c r="N26" s="7"/>
      <ns0:c r="O26" s="7"/>
      <ns0:c r="P26" s="7"/>
      <ns0:c r="Q26" s="7"/>
      <ns0:c r="R26" s="7"/>
      <ns0:c r="S26" s="7"/>
      <ns0:c r="T26" s="7"/>
      <ns0:c r="U26" s="7"/>
    </ns0:row>
    <ns0:row r="27" ht="118.80000305175781" hidden="0" customHeight="1">
      <ns0:c r="A27" s="7" t="s">
        <ns0:v>192</ns0:v>
      </ns0:c>
      <ns0:c r="B27" s="7"/>
      <ns0:c r="C27" s="7"/>
      <ns0:c r="D27" s="7"/>
      <ns0:c r="E27" s="7"/>
      <ns0:c r="F27" s="7"/>
      <ns0:c r="G27" s="7"/>
      <ns0:c r="H27" s="7"/>
      <ns0:c r="I27" s="7"/>
      <ns0:c r="J27" s="7"/>
      <ns0:c r="K27" s="7"/>
      <ns0:c r="L27" s="7"/>
      <ns0:c r="M27" s="7"/>
      <ns0:c r="N27" s="7"/>
      <ns0:c r="O27" s="7"/>
      <ns0:c r="P27" s="7"/>
      <ns0:c r="Q27" s="7"/>
      <ns0:c r="R27" s="7"/>
      <ns0:c r="S27" s="7"/>
      <ns0:c r="T27" s="7"/>
      <ns0:c r="U27" s="7"/>
    </ns0:row>
  </ns0:sheetData>
  <ns0:pageMargins left="0.7" right="0.7" top="0.75" bottom="0.75" header="0.3" footer="0.3"/>
</ns0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4" width="45" style="1" hidden="0" customWidth="1"/>
  </x:cols>
  <x:sheetData>
    <x:row r="1" ht="15" hidden="0" customHeight="1">
      <x:c r="A1" s="1" t="s">
        <x:v>193</x:v>
      </x:c>
      <x:c r="B1" s="1" t="s">
        <x:v>194</x:v>
      </x:c>
      <x:c r="C1" s="1" t="s">
        <x:v>195</x:v>
      </x:c>
      <x:c r="D1" s="1" t="s">
        <x:v>196</x:v>
      </x:c>
    </x:row>
    <x:row r="2" ht="15" hidden="0" customHeight="1">
      <x:c r="A2" s="1" t="s">
        <x:v>197</x:v>
      </x:c>
      <x:c r="B2" s="1" t="s">
        <x:v>198</x:v>
      </x:c>
      <x:c r="C2" s="1" t="s">
        <x:v>199</x:v>
      </x:c>
      <x:c r="D2" s="1" t="s">
        <x:v>200</x:v>
      </x:c>
    </x:row>
    <x:row r="3" ht="15" hidden="0" customHeight="1">
      <x:c r="A3" s="1" t="s">
        <x:v>201</x:v>
      </x:c>
      <x:c r="B3" s="1" t="s">
        <x:v>202</x:v>
      </x:c>
      <x:c r="C3" s="1" t="s">
        <x:v>203</x:v>
      </x:c>
      <x:c r="D3" s="1" t="s">
        <x:v>204</x:v>
      </x:c>
    </x:row>
    <x:row r="4" ht="15" hidden="0" customHeight="1">
      <x:c r="A4" s="1" t="s">
        <x:v>205</x:v>
      </x:c>
      <x:c r="B4" s="1" t="s">
        <x:v>206</x:v>
      </x:c>
      <x:c r="C4" s="1" t="s">
        <x:v>207</x:v>
      </x:c>
      <x:c r="D4" s="1" t="s">
        <x:v>208</x:v>
      </x:c>
    </x:row>
    <x:row r="5" ht="15" hidden="0" customHeight="1">
      <x:c r="A5" s="1" t="s">
        <x:v>209</x:v>
      </x:c>
      <x:c r="B5" s="1" t="s">
        <x:v>210</x:v>
      </x:c>
      <x:c r="C5" s="1" t="s">
        <x:v>211</x:v>
      </x:c>
      <x:c r="D5" s="1" t="s">
        <x:v>212</x:v>
      </x:c>
    </x:row>
    <x:row r="6" ht="15" hidden="0" customHeight="1">
      <x:c r="A6" s="1" t="s">
        <x:v>213</x:v>
      </x:c>
      <x:c r="B6" s="1" t="s">
        <x:v>214</x:v>
      </x:c>
      <x:c r="C6" s="1" t="s">
        <x:v>215</x:v>
      </x:c>
      <x:c r="D6" s="1" t="s">
        <x:v>216</x:v>
      </x:c>
    </x:row>
    <x:row r="7" ht="15" hidden="0" customHeight="1">
      <x:c r="A7" s="1" t="s">
        <x:v>217</x:v>
      </x:c>
      <x:c r="B7" s="1" t="s">
        <x:v>218</x:v>
      </x:c>
      <x:c r="C7" s="1" t="s">
        <x:v>215</x:v>
      </x:c>
      <x:c r="D7" s="1" t="s">
        <x:v>219</x:v>
      </x:c>
    </x:row>
  </x:sheetData>
  <x:pageMargins left="0.7" right="0.7" top="0.75" bottom="0.75" header="0.3" footer="0.3"/>
</x:worksheet>
</file>