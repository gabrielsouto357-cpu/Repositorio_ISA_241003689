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fcdf7c346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s" sheetId="1" r:id="Ra21deb2141194423"/>
    <x:sheet xmlns:r="http://schemas.openxmlformats.org/officeDocument/2006/relationships" name="Proposta" sheetId="2" r:id="R25c337fcac1f47a1"/>
    <x:sheet xmlns:r="http://schemas.openxmlformats.org/officeDocument/2006/relationships" name="Sensibilidade" sheetId="3" r:id="R7c966f18346f4cfc"/>
    <x:sheet xmlns:r="http://schemas.openxmlformats.org/officeDocument/2006/relationships" name="Gatilhos" sheetId="4" r:id="Rc05c130f578a41ba"/>
    <x:sheet xmlns:r="http://schemas.openxmlformats.org/officeDocument/2006/relationships" name="Erro_esperado" sheetId="5" r:id="R18405b4b0e284da1"/>
  </x:sheets>
</x:workbook>
</file>

<file path=xl/sharedStrings.xml><?xml version="1.0" encoding="utf-8"?>
<x:sst xmlns:x="http://schemas.openxmlformats.org/spreadsheetml/2006/main">
  <x:si>
    <x:t xml:space="preserve">Base</x:t>
  </x:si>
  <x:si>
    <x:t xml:space="preserve">2025</x:t>
  </x:si>
  <x:si>
    <x:t xml:space="preserve">2024</x:t>
  </x:si>
  <x:si>
    <x:t xml:space="preserve">Variação %</x:t>
  </x:si>
  <x:si>
    <x:t xml:space="preserve">Fonte (F0003, pág.)</x:t>
  </x:si>
  <x:si>
    <x:t xml:space="preserve">% julgamento (mín)</x:t>
  </x:si>
  <x:si>
    <x:t xml:space="preserve">% julgamento (máx)</x:t>
  </x:si>
  <x:si>
    <x:t xml:space="preserve">MG mín</x:t>
  </x:si>
  <x:si>
    <x:t xml:space="preserve">MG máx</x:t>
  </x:si>
  <x:si>
    <x:t xml:space="preserve">Comentário</x:t>
  </x:si>
  <x:si>
    <x:t xml:space="preserve">Lucro antes do IR e CS (LAIR)</x:t>
  </x:si>
  <x:si>
    <x:t xml:space="preserve">p.25 (R16)</x:t>
  </x:si>
  <x:si>
    <x:t xml:space="preserve">A5: usual para entidade com fins lucrativos; volátil em 2025</x:t>
  </x:si>
  <x:si>
    <x:t xml:space="preserve">LAIR normalizado (média 2024–2025)</x:t>
  </x:si>
  <x:si>
    <x:t xml:space="preserve">A6: normalização quando há variação excepcional</x:t>
  </x:si>
  <x:si>
    <x:t xml:space="preserve">Receita operacional líquida</x:t>
  </x:si>
  <x:si>
    <x:t xml:space="preserve">p.25 (R01)</x:t>
  </x:si>
  <x:si>
    <x:t xml:space="preserve">A5: alternativa quando o LAIR é volátil</x:t>
  </x:si>
  <x:si>
    <x:t xml:space="preserve">Patrimônio líquido total</x:t>
  </x:si>
  <x:si>
    <x:t xml:space="preserve">p.24 (P30)</x:t>
  </x:si>
  <x:si>
    <x:t xml:space="preserve">A4(b),(d): foco de credores/financiamento</x:t>
  </x:si>
  <x:si>
    <x:t xml:space="preserve">Ativo total</x:t>
  </x:si>
  <x:si>
    <x:t xml:space="preserve">p.23 (A22)</x:t>
  </x:si>
  <x:si>
    <x:t xml:space="preserve">A4(d): usuários credores; ativo contratual é 77% do ativo</x:t>
  </x:si>
  <x:si>
    <x:t xml:space="preserve">Lucro líquido do exercício</x:t>
  </x:si>
  <x:si>
    <x:t xml:space="preserve">p.25 (R20)</x:t>
  </x:si>
  <x:si>
    <x:t xml:space="preserve">Referência de dividendos (contraste, não base)</x:t>
  </x:si>
  <x:si>
    <x:t xml:space="preserve">Item</x:t>
  </x:si>
  <x:si>
    <x:t xml:space="preserve">Valor</x:t>
  </x:si>
  <x:si>
    <x:t xml:space="preserve">Fundamento / natureza</x:t>
  </x:si>
  <x:si>
    <x:t xml:space="preserve">Base escolhida</x:t>
  </x:si>
  <x:si>
    <x:t xml:space="preserve">LAIR 2025 (B3)</x:t>
  </x:si>
  <x:si>
    <x:t xml:space="preserve">Julgamento: usuários (acionistas, dividendos) focam lucro; usar 2025 corrente (menor) é conservador frente à queda de 33%</x:t>
  </x:si>
  <x:si>
    <x:t xml:space="preserve">Valor da base</x:t>
  </x:si>
  <x:si>
    <x:t xml:space="preserve">% aplicado (julgamento)</x:t>
  </x:si>
  <x:si>
    <x:t xml:space="preserve">Não é percentual obrigatório: NBC TA 320 A8 (F0001 p.375) dá 5% do LAIR como exemplo</x:t>
  </x:si>
  <x:si>
    <x:t xml:space="preserve">MG calculada</x:t>
  </x:si>
  <x:si>
    <x:t xml:space="preserve">MG arredondada (proposta)</x:t>
  </x:si>
  <x:si>
    <x:t xml:space="preserve">Materialidade global – it. 10</x:t>
  </x:si>
  <x:si>
    <x:t xml:space="preserve">MG como % da receita</x:t>
  </x:si>
  <x:si>
    <x:t xml:space="preserve">Corroboração com base alternativa</x:t>
  </x:si>
  <x:si>
    <x:t xml:space="preserve">MG como % do PL</x:t>
  </x:si>
  <x:si>
    <x:t xml:space="preserve">MG como % do ativo</x:t>
  </x:si>
  <x:si>
    <x:t xml:space="preserve">% para execução (julgamento)</x:t>
  </x:si>
  <x:si>
    <x:t xml:space="preserve">Faixa baixa-média: deficiência de controle e ajuste não corrigido relatados pelo auditor real (F0003 p.136; F0011 p.139); 1º ano deste trabalho</x:t>
  </x:si>
  <x:si>
    <x:t xml:space="preserve">Materialidade para execução (ME)</x:t>
  </x:si>
  <x:si>
    <x:t xml:space="preserve">it. 11; A13 (F0001 p.371, 376)</x:t>
  </x:si>
  <x:si>
    <x:t xml:space="preserve">% claramente trivial (julgamento)</x:t>
  </x:si>
  <x:si>
    <x:t xml:space="preserve">NBC TA 450 A3 (F0001 p.433)</x:t>
  </x:si>
  <x:si>
    <x:t xml:space="preserve">Limiar claramente trivial (CT)</x:t>
  </x:si>
  <x:si>
    <x:t xml:space="preserve">Materialidade específica 1</x:t>
  </x:si>
  <x:si>
    <x:t xml:space="preserve">Partes relacionadas e remuneração da administração: toda distorção &gt; CT avaliada pela natureza (A11, F0001 p.375)</x:t>
  </x:si>
  <x:si>
    <x:t xml:space="preserve">Materialidade específica 2</x:t>
  </x:si>
  <x:si>
    <x:t xml:space="preserve">Divulgação de premissas e sensibilidade do ativo contratual (taxas 4,2%–9,9%, F0003 p.39) – A11 (R1)</x:t>
  </x:si>
  <x:si>
    <x:t xml:space="preserve">Checagem ME &lt; MG</x:t>
  </x:si>
  <x:si>
    <x:t xml:space="preserve">Checagem CT &lt; ME</x:t>
  </x:si>
  <x:si>
    <x:t xml:space="preserve">% sobre LAIR 2025</x:t>
  </x:si>
  <x:si>
    <x:t xml:space="preserve">MG</x:t>
  </x:si>
  <x:si>
    <x:t xml:space="preserve">ME (65%)</x:t>
  </x:si>
  <x:si>
    <x:t xml:space="preserve">CT (5%)</x:t>
  </x:si>
  <x:si>
    <x:t xml:space="preserve">MG/Receita</x:t>
  </x:si>
  <x:si>
    <x:t xml:space="preserve">Base alternativa</x:t>
  </x:si>
  <x:si>
    <x:t xml:space="preserve">LAIR normalizado 5%</x:t>
  </x:si>
  <x:si>
    <x:t xml:space="preserve">Receita 1%</x:t>
  </x:si>
  <x:si>
    <x:t xml:space="preserve">PL 1%</x:t>
  </x:si>
  <x:si>
    <x:t xml:space="preserve">Gatilho de revisão (it. 12–13; A14, F0001 p.371, 376)</x:t>
  </x:si>
  <x:si>
    <x:t xml:space="preserve">Ação</x:t>
  </x:si>
  <x:si>
    <x:t xml:space="preserve">Distorções acumuladas &gt; 50% da ME</x:t>
  </x:si>
  <x:si>
    <x:t xml:space="preserve">Reavaliar ME e extensão dos testes (NBC TA 450 A8, p.434)</x:t>
  </x:si>
  <x:si>
    <x:t xml:space="preserve">Informação nova que altere o LAIR em &gt; 10%</x:t>
  </x:si>
  <x:si>
    <x:t xml:space="preserve">Recalcular MG e ME (A14)</x:t>
  </x:si>
  <x:si>
    <x:t xml:space="preserve">Explicação da queda do LAIR 2025 indicar evento não recorrente</x:t>
  </x:si>
  <x:si>
    <x:t xml:space="preserve">Reavaliar normalização (A6)</x:t>
  </x:si>
  <x:si>
    <x:t xml:space="preserve">Avaliar pela natureza, independentemente do valor (it. 6, p.370)</x:t>
  </x:si>
  <x:si>
    <x:t xml:space="preserve">Materialidade de componente (PT 600)</x:t>
  </x:si>
  <x:si>
    <x:t xml:space="preserve">Definir abaixo da ME do grupo (NBC TA 600 it. 35(a), p.696)</x:t>
  </x:si>
  <x:si>
    <x:t xml:space="preserve">Conceito</x:t>
  </x:si>
  <x:si>
    <x:t xml:space="preserve">Tratamento</x:t>
  </x:si>
  <x:si>
    <x:t xml:space="preserve">Erro esperado (planejamento didático)</x:t>
  </x:si>
  <x:si>
    <x:t xml:space="preserve">Premissa a fixar no PT 530; usado só para dimensionar amostras da base sintética</x:t>
  </x:si>
  <x:si>
    <x:t xml:space="preserve">Taxa de erro real da ISA</x:t>
  </x:si>
  <x:si>
    <x:t xml:space="preserve">Não mensurável com fontes públicas; nenhuma afirmação é feita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</x:si>
</x:sst>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#,##0"/>
    <x:numFmt numFmtId="166" formatCode="0.00%"/>
  </x:numFmts>
  <x:fonts count="5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5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6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1" applyBorder="0" applyAlignment="0" applyProtection="0">
      <x:alignment horizontal="general" vertical="bottom" wrapText="0" shrinkToFit="0"/>
      <x:protection locked="1" hidden="0"/>
    </x:xf>
    <x:xf numFmtId="166" fontId="0" fillId="2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5" fontId="0" fillId="0" borderId="0" xfId="0" applyNumberFormat="1" applyFont="1" applyFill="1" applyBorder="1" applyAlignment="1">
      <x:alignment horizontal="general" vertical="bottom" wrapText="1"/>
    </x:xf>
    <x:xf numFmtId="166" fontId="0" fillId="0" borderId="0" xfId="0" applyNumberFormat="1" applyFont="1" applyFill="1" applyBorder="1" applyAlignment="1">
      <x:alignment horizontal="general" vertical="bottom" wrapText="1"/>
    </x:xf>
    <x:xf numFmtId="166" fontId="0" fillId="2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e27617b5948da" /><Relationship Type="http://schemas.openxmlformats.org/officeDocument/2006/relationships/theme" Target="/xl/theme/theme1.xml" Id="R2654d1fa45254a45" /><Relationship Type="http://schemas.openxmlformats.org/officeDocument/2006/relationships/sharedStrings" Target="/xl/sharedStrings.xml" Id="Rc2fdfe03b884454e" /><Relationship Type="http://schemas.openxmlformats.org/officeDocument/2006/relationships/worksheet" Target="/xl/worksheets/sheet1.xml" Id="Ra21deb2141194423" /><Relationship Type="http://schemas.openxmlformats.org/officeDocument/2006/relationships/worksheet" Target="/xl/worksheets/sheet2.xml" Id="R25c337fcac1f47a1" /><Relationship Type="http://schemas.openxmlformats.org/officeDocument/2006/relationships/worksheet" Target="/xl/worksheets/sheet3.xml" Id="R7c966f18346f4cfc" /><Relationship Type="http://schemas.openxmlformats.org/officeDocument/2006/relationships/worksheet" Target="/xl/worksheets/sheet4.xml" Id="Rc05c130f578a41ba" /><Relationship Type="http://schemas.openxmlformats.org/officeDocument/2006/relationships/worksheet" Target="/xl/worksheets/sheet5.xml" Id="R18405b4b0e284da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1" workbookViewId="0"/>
  </ns0:sheetViews>
  <ns0:sheetFormatPr defaultColWidth="8.6796875" defaultRowHeight="15"/>
  <ns0:cols>
    <ns0:col min="1" max="10" width="22" hidden="0" customWidth="1"/>
  </ns0:cols>
  <ns0:sheetData>
    <ns0:row r="1" ht="105.5999984741211" hidden="0" customHeight="1">
      <ns0:c r="A1" s="6" t="str">
        <ns0:v>PT 320 – Bases possíveis (consolidado, R$ mil). Células amarelas = premissas editáveis (julgamento). D-014 validada; revisão automatizada B12; sem nova validação simulada</ns0:v>
      </ns0:c>
      <ns0:c r="B1" s="7"/>
      <ns0:c r="C1" s="7"/>
      <ns0:c r="D1" s="7"/>
      <ns0:c r="E1" s="7"/>
      <ns0:c r="F1" s="7"/>
      <ns0:c r="G1" s="7"/>
      <ns0:c r="H1" s="7"/>
      <ns0:c r="I1" s="7"/>
      <ns0:c r="J1" s="7"/>
    </ns0:row>
    <ns0:row r="2" ht="15" hidden="0" customHeight="1">
      <ns0:c r="A2" s="7" t="s">
        <ns0:v>0</ns0:v>
      </ns0:c>
      <ns0:c r="B2" s="7" t="s">
        <ns0:v>1</ns0:v>
      </ns0:c>
      <ns0:c r="C2" s="7" t="s">
        <ns0:v>2</ns0:v>
      </ns0:c>
      <ns0:c r="D2" s="7" t="s">
        <ns0:v>3</ns0:v>
      </ns0:c>
      <ns0:c r="E2" s="7" t="s">
        <ns0:v>4</ns0:v>
      </ns0:c>
      <ns0:c r="F2" s="7" t="s">
        <ns0:v>5</ns0:v>
      </ns0:c>
      <ns0:c r="G2" s="7" t="s">
        <ns0:v>6</ns0:v>
      </ns0:c>
      <ns0:c r="H2" s="7" t="s">
        <ns0:v>7</ns0:v>
      </ns0:c>
      <ns0:c r="I2" s="7" t="s">
        <ns0:v>8</ns0:v>
      </ns0:c>
      <ns0:c r="J2" s="7" t="s">
        <ns0:v>9</ns0:v>
      </ns0:c>
    </ns0:row>
    <ns0:row r="3" ht="39.599998474121094" hidden="0" customHeight="1">
      <ns0:c r="A3" s="7" t="s">
        <ns0:v>10</ns0:v>
      </ns0:c>
      <ns0:c r="B3" s="8" t="n">
        <ns0:v>2780309</ns0:v>
      </ns0:c>
      <ns0:c r="C3" s="8" t="n">
        <ns0:v>4168661</ns0:v>
      </ns0:c>
      <ns0:c r="D3" s="9">
        <ns0:f aca="0">IF(C3="","",B3/C3-1)</ns0:f>
        <ns0:v>-0.33304507130707</ns0:v>
      </ns0:c>
      <ns0:c r="E3" s="7" t="s">
        <ns0:v>11</ns0:v>
      </ns0:c>
      <ns0:c r="F3" s="10" t="n">
        <ns0:v>0.03</ns0:v>
      </ns0:c>
      <ns0:c r="G3" s="10" t="n">
        <ns0:v>0.05</ns0:v>
      </ns0:c>
      <ns0:c r="H3" s="8">
        <ns0:f aca="0">B3*F3</ns0:f>
        <ns0:v>83409.27</ns0:v>
      </ns0:c>
      <ns0:c r="I3" s="8">
        <ns0:f aca="0">B3*G3</ns0:f>
        <ns0:v>139015.45</ns0:v>
      </ns0:c>
      <ns0:c r="J3" s="7" t="s">
        <ns0:v>12</ns0:v>
      </ns0:c>
    </ns0:row>
    <ns0:row r="4" ht="26.399999618530273" hidden="0" customHeight="1">
      <ns0:c r="A4" s="7" t="s">
        <ns0:v>13</ns0:v>
      </ns0:c>
      <ns0:c r="B4" s="8">
        <ns0:f aca="0">AVERAGE(B3:C3)</ns0:f>
        <ns0:v>3474485</ns0:v>
      </ns0:c>
      <ns0:c r="C4" s="8"/>
      <ns0:c r="D4" s="9">
        <ns0:f aca="0">IF(C4="","",B4/C4-1)</ns0:f>
        <ns0:v/>
      </ns0:c>
      <ns0:c r="E4" s="7" t="s">
        <ns0:v>11</ns0:v>
      </ns0:c>
      <ns0:c r="F4" s="10" t="n">
        <ns0:v>0.03</ns0:v>
      </ns0:c>
      <ns0:c r="G4" s="10" t="n">
        <ns0:v>0.05</ns0:v>
      </ns0:c>
      <ns0:c r="H4" s="8">
        <ns0:f aca="0">B4*F4</ns0:f>
        <ns0:v>104234.55</ns0:v>
      </ns0:c>
      <ns0:c r="I4" s="8">
        <ns0:f aca="0">B4*G4</ns0:f>
        <ns0:v>173724.25</ns0:v>
      </ns0:c>
      <ns0:c r="J4" s="7" t="s">
        <ns0:v>14</ns0:v>
      </ns0:c>
    </ns0:row>
    <ns0:row r="5" ht="26.399999618530273" hidden="0" customHeight="1">
      <ns0:c r="A5" s="7" t="s">
        <ns0:v>15</ns0:v>
      </ns0:c>
      <ns0:c r="B5" s="8" t="n">
        <ns0:v>9411153</ns0:v>
      </ns0:c>
      <ns0:c r="C5" s="8" t="n">
        <ns0:v>7966581</ns0:v>
      </ns0:c>
      <ns0:c r="D5" s="9">
        <ns0:f aca="0">IF(C5="","",B5/C5-1)</ns0:f>
        <ns0:v>0.181328979144253</ns0:v>
      </ns0:c>
      <ns0:c r="E5" s="7" t="s">
        <ns0:v>16</ns0:v>
      </ns0:c>
      <ns0:c r="F5" s="10" t="n">
        <ns0:v>0.005</ns0:v>
      </ns0:c>
      <ns0:c r="G5" s="10" t="n">
        <ns0:v>0.015</ns0:v>
      </ns0:c>
      <ns0:c r="H5" s="8">
        <ns0:f aca="0">B5*F5</ns0:f>
        <ns0:v>47055.765</ns0:v>
      </ns0:c>
      <ns0:c r="I5" s="8">
        <ns0:f aca="0">B5*G5</ns0:f>
        <ns0:v>141167.295</ns0:v>
      </ns0:c>
      <ns0:c r="J5" s="7" t="s">
        <ns0:v>17</ns0:v>
      </ns0:c>
    </ns0:row>
    <ns0:row r="6" ht="26.399999618530273" hidden="0" customHeight="1">
      <ns0:c r="A6" s="7" t="s">
        <ns0:v>18</ns0:v>
      </ns0:c>
      <ns0:c r="B6" s="8" t="n">
        <ns0:v>21437011</ns0:v>
      </ns0:c>
      <ns0:c r="C6" s="8" t="n">
        <ns0:v>20071282</ns0:v>
      </ns0:c>
      <ns0:c r="D6" s="9">
        <ns0:f aca="0">IF(C6="","",B6/C6-1)</ns0:f>
        <ns0:v>0.0680439346126471</ns0:v>
      </ns0:c>
      <ns0:c r="E6" s="7" t="s">
        <ns0:v>19</ns0:v>
      </ns0:c>
      <ns0:c r="F6" s="10" t="n">
        <ns0:v>0.005</ns0:v>
      </ns0:c>
      <ns0:c r="G6" s="10" t="n">
        <ns0:v>0.01</ns0:v>
      </ns0:c>
      <ns0:c r="H6" s="8">
        <ns0:f aca="0">B6*F6</ns0:f>
        <ns0:v>107185.055</ns0:v>
      </ns0:c>
      <ns0:c r="I6" s="8">
        <ns0:f aca="0">B6*G6</ns0:f>
        <ns0:v>214370.11</ns0:v>
      </ns0:c>
      <ns0:c r="J6" s="7" t="s">
        <ns0:v>20</ns0:v>
      </ns0:c>
    </ns0:row>
    <ns0:row r="7" ht="39.599998474121094" hidden="0" customHeight="1">
      <ns0:c r="A7" s="7" t="s">
        <ns0:v>21</ns0:v>
      </ns0:c>
      <ns0:c r="B7" s="8" t="n">
        <ns0:v>47201372</ns0:v>
      </ns0:c>
      <ns0:c r="C7" s="8" t="n">
        <ns0:v>43304632</ns0:v>
      </ns0:c>
      <ns0:c r="D7" s="9">
        <ns0:f aca="0">IF(C7="","",B7/C7-1)</ns0:f>
        <ns0:v>0.0899843693395201</ns0:v>
      </ns0:c>
      <ns0:c r="E7" s="7" t="s">
        <ns0:v>22</ns0:v>
      </ns0:c>
      <ns0:c r="F7" s="10" t="n">
        <ns0:v>0.0025</ns0:v>
      </ns0:c>
      <ns0:c r="G7" s="10" t="n">
        <ns0:v>0.005</ns0:v>
      </ns0:c>
      <ns0:c r="H7" s="8">
        <ns0:f aca="0">B7*F7</ns0:f>
        <ns0:v>118003.43</ns0:v>
      </ns0:c>
      <ns0:c r="I7" s="8">
        <ns0:f aca="0">B7*G7</ns0:f>
        <ns0:v>236006.86</ns0:v>
      </ns0:c>
      <ns0:c r="J7" s="7" t="s">
        <ns0:v>23</ns0:v>
      </ns0:c>
    </ns0:row>
    <ns0:row r="8" ht="26.399999618530273" hidden="0" customHeight="1">
      <ns0:c r="A8" s="7" t="s">
        <ns0:v>24</ns0:v>
      </ns0:c>
      <ns0:c r="B8" s="8" t="n">
        <ns0:v>2511015</ns0:v>
      </ns0:c>
      <ns0:c r="C8" s="8" t="n">
        <ns0:v>3552731</ns0:v>
      </ns0:c>
      <ns0:c r="D8" s="9">
        <ns0:f aca="0">IF(C8="","",B8/C8-1)</ns0:f>
        <ns0:v>-0.293215557271294</ns0:v>
      </ns0:c>
      <ns0:c r="E8" s="7" t="s">
        <ns0:v>25</ns0:v>
      </ns0:c>
      <ns0:c r="F8" s="10" t="n">
        <ns0:v>0.05</ns0:v>
      </ns0:c>
      <ns0:c r="G8" s="10" t="n">
        <ns0:v>0.1</ns0:v>
      </ns0:c>
      <ns0:c r="H8" s="8">
        <ns0:f aca="0">B8*F8</ns0:f>
        <ns0:v>125550.75</ns0:v>
      </ns0:c>
      <ns0:c r="I8" s="8">
        <ns0:f aca="0">B8*G8</ns0:f>
        <ns0:v>251101.5</ns0:v>
      </ns0:c>
      <ns0:c r="J8" s="7" t="s">
        <ns0:v>26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1" workbookViewId="0"/>
  </ns0:sheetViews>
  <ns0:sheetFormatPr defaultColWidth="8.6796875" defaultRowHeight="15"/>
  <ns0:cols>
    <ns0:col min="1" max="3" width="22" hidden="0" customWidth="1"/>
  </ns0:cols>
  <ns0:sheetData>
    <ns0:row r="1" ht="15" hidden="0" customHeight="1">
      <ns0:c r="A1" s="6" t="s">
        <ns0:v>27</ns0:v>
      </ns0:c>
      <ns0:c r="B1" s="7" t="s">
        <ns0:v>28</ns0:v>
      </ns0:c>
      <ns0:c r="C1" s="7" t="s">
        <ns0:v>29</ns0:v>
      </ns0:c>
    </ns0:row>
    <ns0:row r="2" ht="79.19999694824219" hidden="0" customHeight="1">
      <ns0:c r="A2" s="7" t="s">
        <ns0:v>30</ns0:v>
      </ns0:c>
      <ns0:c r="B2" s="8" t="s">
        <ns0:v>31</ns0:v>
      </ns0:c>
      <ns0:c r="C2" s="7" t="s">
        <ns0:v>32</ns0:v>
      </ns0:c>
    </ns0:row>
    <ns0:row r="3" ht="15" hidden="0" customHeight="1">
      <ns0:c r="A3" s="7" t="s">
        <ns0:v>33</ns0:v>
      </ns0:c>
      <ns0:c r="B3" s="8">
        <ns0:f aca="0">Bases!B3</ns0:f>
        <ns0:v>2780309</ns0:v>
      </ns0:c>
      <ns0:c r="C3" s="7"/>
    </ns0:row>
    <ns0:row r="4" ht="52.79999923706055" hidden="0" customHeight="1">
      <ns0:c r="A4" s="7" t="s">
        <ns0:v>34</ns0:v>
      </ns0:c>
      <ns0:c r="B4" s="10" t="n">
        <ns0:v>0.05</ns0:v>
      </ns0:c>
      <ns0:c r="C4" s="7" t="s">
        <ns0:v>35</ns0:v>
      </ns0:c>
    </ns0:row>
    <ns0:row r="5" ht="15" hidden="0" customHeight="1">
      <ns0:c r="A5" s="7" t="s">
        <ns0:v>36</ns0:v>
      </ns0:c>
      <ns0:c r="B5" s="8">
        <ns0:f aca="0">B3*B4</ns0:f>
        <ns0:v>139015.45</ns0:v>
      </ns0:c>
      <ns0:c r="C5" s="7"/>
    </ns0:row>
    <ns0:row r="6" ht="15" hidden="0" customHeight="1">
      <ns0:c r="A6" s="7" t="s">
        <ns0:v>37</ns0:v>
      </ns0:c>
      <ns0:c r="B6" s="8">
        <ns0:f aca="0">ROUND(B5,-3)</ns0:f>
        <ns0:v>139000</ns0:v>
      </ns0:c>
      <ns0:c r="C6" s="7" t="s">
        <ns0:v>38</ns0:v>
      </ns0:c>
    </ns0:row>
    <ns0:row r="7" ht="26.399999618530273" hidden="0" customHeight="1">
      <ns0:c r="A7" s="7" t="s">
        <ns0:v>39</ns0:v>
      </ns0:c>
      <ns0:c r="B7" s="9">
        <ns0:f aca="0">B6/Bases!B5</ns0:f>
        <ns0:v>0.0147697099388353</ns0:v>
      </ns0:c>
      <ns0:c r="C7" s="7" t="s">
        <ns0:v>40</ns0:v>
      </ns0:c>
    </ns0:row>
    <ns0:row r="8" ht="15" hidden="0" customHeight="1">
      <ns0:c r="A8" s="7" t="s">
        <ns0:v>41</ns0:v>
      </ns0:c>
      <ns0:c r="B8" s="9">
        <ns0:f aca="0">B6/Bases!B6</ns0:f>
        <ns0:v>0.00648411292040667</ns0:v>
      </ns0:c>
      <ns0:c r="C8" s="7"/>
    </ns0:row>
    <ns0:row r="9" ht="15" hidden="0" customHeight="1">
      <ns0:c r="A9" s="7" t="s">
        <ns0:v>42</ns0:v>
      </ns0:c>
      <ns0:c r="B9" s="9">
        <ns0:f aca="0">B6/Bases!B7</ns0:f>
        <ns0:v>0.00294482965452784</ns0:v>
      </ns0:c>
      <ns0:c r="C9" s="7"/>
    </ns0:row>
    <ns0:row r="10" ht="79.19999694824219" hidden="0" customHeight="1">
      <ns0:c r="A10" s="7" t="s">
        <ns0:v>43</ns0:v>
      </ns0:c>
      <ns0:c r="B10" s="10" t="n">
        <ns0:v>0.65</ns0:v>
      </ns0:c>
      <ns0:c r="C10" s="7" t="s">
        <ns0:v>44</ns0:v>
      </ns0:c>
    </ns0:row>
    <ns0:row r="11" ht="26.399999618530273" hidden="0" customHeight="1">
      <ns0:c r="A11" s="7" t="s">
        <ns0:v>45</ns0:v>
      </ns0:c>
      <ns0:c r="B11" s="8">
        <ns0:f aca="0">ROUND(B6*B10,-3)</ns0:f>
        <ns0:v>90000</ns0:v>
      </ns0:c>
      <ns0:c r="C11" s="7" t="s">
        <ns0:v>46</ns0:v>
      </ns0:c>
    </ns0:row>
    <ns0:row r="12" ht="26.399999618530273" hidden="0" customHeight="1">
      <ns0:c r="A12" s="7" t="s">
        <ns0:v>47</ns0:v>
      </ns0:c>
      <ns0:c r="B12" s="10" t="n">
        <ns0:v>0.05</ns0:v>
      </ns0:c>
      <ns0:c r="C12" s="7" t="s">
        <ns0:v>48</ns0:v>
      </ns0:c>
    </ns0:row>
    <ns0:row r="13" ht="15" hidden="0" customHeight="1">
      <ns0:c r="A13" s="7" t="s">
        <ns0:v>49</ns0:v>
      </ns0:c>
      <ns0:c r="B13" s="8">
        <ns0:f aca="0">ROUND(B6*B12,-2)</ns0:f>
        <ns0:v>7000</ns0:v>
      </ns0:c>
      <ns0:c r="C13" s="7"/>
    </ns0:row>
    <ns0:row r="14" ht="66" hidden="0" customHeight="1">
      <ns0:c r="A14" s="7" t="s">
        <ns0:v>50</ns0:v>
      </ns0:c>
      <ns0:c r="B14" s="7" t="str">
        <ns0:v>Qualitativa | V12-03 validada: atenção qualitativa; não representa limiar monetário específico determinado.</ns0:v>
      </ns0:c>
      <ns0:c r="C14" s="7" t="s">
        <ns0:v>51</ns0:v>
      </ns0:c>
    </ns0:row>
    <ns0:row r="15" ht="66" hidden="0" customHeight="1">
      <ns0:c r="A15" s="7" t="s">
        <ns0:v>52</ns0:v>
      </ns0:c>
      <ns0:c r="B15" s="7" t="str">
        <ns0:v>Qualitativa | V12-03 validada: atenção qualitativa; não representa limiar monetário específico determinado.</ns0:v>
      </ns0:c>
      <ns0:c r="C15" s="7" t="s">
        <ns0:v>53</ns0:v>
      </ns0:c>
    </ns0:row>
    <ns0:row r="16" ht="15" hidden="0" customHeight="1">
      <ns0:c r="A16" s="7" t="s">
        <ns0:v>54</ns0:v>
      </ns0:c>
      <ns0:c r="B16" s="7" t="str">
        <ns0:f aca="0">IF(B11&lt;B6,"OK","ERRO")</ns0:f>
        <ns0:v>OK</ns0:v>
      </ns0:c>
      <ns0:c r="C16" s="7"/>
    </ns0:row>
    <ns0:row r="17" ht="15" hidden="0" customHeight="1">
      <ns0:c r="A17" s="7" t="s">
        <ns0:v>55</ns0:v>
      </ns0:c>
      <ns0:c r="B17" s="7" t="str">
        <ns0:f aca="0">IF(B13&lt;B11,"OK","ERRO")</ns0:f>
        <ns0:v>OK</ns0:v>
      </ns0:c>
      <ns0:c r="C17" s="7"/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1" workbookViewId="0"/>
  </ns0:sheetViews>
  <ns0:sheetFormatPr defaultColWidth="8.6796875" defaultRowHeight="15"/>
  <ns0:cols>
    <ns0:col min="1" max="5" width="22" hidden="0" customWidth="1"/>
  </ns0:cols>
  <ns0:sheetData>
    <ns0:row r="1" ht="15" hidden="0">
      <ns0:c r="A1" s="1" t="s">
        <ns0:v>56</ns0:v>
      </ns0:c>
      <ns0:c r="B1" s="4" t="s">
        <ns0:v>57</ns0:v>
      </ns0:c>
      <ns0:c r="C1" s="4" t="s">
        <ns0:v>58</ns0:v>
      </ns0:c>
      <ns0:c r="D1" s="4" t="s">
        <ns0:v>59</ns0:v>
      </ns0:c>
      <ns0:c r="E1" s="4" t="s">
        <ns0:v>60</ns0:v>
      </ns0:c>
    </ns0:row>
    <ns0:row r="2" ht="15" hidden="0">
      <ns0:c r="A2" t="n">
        <ns0:v>0.03</ns0:v>
      </ns0:c>
      <ns0:c r="B2" s="2">
        <ns0:f aca="0">Bases!$B$3*A2</ns0:f>
        <ns0:v>83409.27</ns0:v>
      </ns0:c>
      <ns0:c r="C2" s="2">
        <ns0:f aca="0">B2*Proposta!$B$10</ns0:f>
        <ns0:v>54216.0255</ns0:v>
      </ns0:c>
      <ns0:c r="D2" s="2">
        <ns0:f aca="0">B2*Proposta!$B$12</ns0:f>
        <ns0:v>4170.4635</ns0:v>
      </ns0:c>
      <ns0:c r="E2" s="4">
        <ns0:f aca="0">B2/Bases!$B$5</ns0:f>
        <ns0:v>0.00886281096482014</ns0:v>
      </ns0:c>
    </ns0:row>
    <ns0:row r="3" ht="15" hidden="0">
      <ns0:c r="A3" t="n">
        <ns0:v>0.04</ns0:v>
      </ns0:c>
      <ns0:c r="B3" s="2">
        <ns0:f aca="0">Bases!$B$3*A3</ns0:f>
        <ns0:v>111212.36</ns0:v>
      </ns0:c>
      <ns0:c r="C3" s="2">
        <ns0:f aca="0">B3*Proposta!$B$10</ns0:f>
        <ns0:v>72288.034</ns0:v>
      </ns0:c>
      <ns0:c r="D3" s="2">
        <ns0:f aca="0">B3*Proposta!$B$12</ns0:f>
        <ns0:v>5560.618</ns0:v>
      </ns0:c>
      <ns0:c r="E3" s="4">
        <ns0:f aca="0">B3/Bases!$B$5</ns0:f>
        <ns0:v>0.0118170812864269</ns0:v>
      </ns0:c>
    </ns0:row>
    <ns0:row r="4" ht="15" hidden="0">
      <ns0:c r="A4" t="n">
        <ns0:v>0.05</ns0:v>
      </ns0:c>
      <ns0:c r="B4" s="2">
        <ns0:f aca="0">Bases!$B$3*A4</ns0:f>
        <ns0:v>139015.45</ns0:v>
      </ns0:c>
      <ns0:c r="C4" s="2">
        <ns0:f aca="0">B4*Proposta!$B$10</ns0:f>
        <ns0:v>90360.0425</ns0:v>
      </ns0:c>
      <ns0:c r="D4" s="2">
        <ns0:f aca="0">B4*Proposta!$B$12</ns0:f>
        <ns0:v>6950.7725</ns0:v>
      </ns0:c>
      <ns0:c r="E4" s="4">
        <ns0:f aca="0">B4/Bases!$B$5</ns0:f>
        <ns0:v>0.0147713516080336</ns0:v>
      </ns0:c>
    </ns0:row>
    <ns0:row r="5" ht="15" hidden="0">
      <ns0:c r="A5" t="n">
        <ns0:v>0.06</ns0:v>
      </ns0:c>
      <ns0:c r="B5" s="2">
        <ns0:f aca="0">Bases!$B$3*A5</ns0:f>
        <ns0:v>166818.54</ns0:v>
      </ns0:c>
      <ns0:c r="C5" s="2">
        <ns0:f aca="0">B5*Proposta!$B$10</ns0:f>
        <ns0:v>108432.051</ns0:v>
      </ns0:c>
      <ns0:c r="D5" s="2">
        <ns0:f aca="0">B5*Proposta!$B$12</ns0:f>
        <ns0:v>8340.927</ns0:v>
      </ns0:c>
      <ns0:c r="E5" s="4">
        <ns0:f aca="0">B5/Bases!$B$5</ns0:f>
        <ns0:v>0.0177256219296403</ns0:v>
      </ns0:c>
    </ns0:row>
    <ns0:row r="6" ht="15" hidden="0">
      <ns0:c r="B6" s="2"/>
      <ns0:c r="C6" s="2"/>
      <ns0:c r="D6" s="2"/>
    </ns0:row>
    <ns0:row r="7" ht="15" hidden="0">
      <ns0:c r="A7" t="s">
        <ns0:v>61</ns0:v>
      </ns0:c>
      <ns0:c r="B7" s="2" t="s">
        <ns0:v>57</ns0:v>
      </ns0:c>
      <ns0:c r="C7" s="2" t="s">
        <ns0:v>58</ns0:v>
      </ns0:c>
      <ns0:c r="D7" s="2" t="s">
        <ns0:v>59</ns0:v>
      </ns0:c>
    </ns0:row>
    <ns0:row r="8" ht="15" hidden="0">
      <ns0:c r="A8" t="s">
        <ns0:v>62</ns0:v>
      </ns0:c>
      <ns0:c r="B8" s="2">
        <ns0:f aca="0">Bases!B4*0.05</ns0:f>
        <ns0:v>173724.25</ns0:v>
      </ns0:c>
      <ns0:c r="C8" s="2">
        <ns0:f aca="0">B8*Proposta!$B$10</ns0:f>
        <ns0:v>112920.7625</ns0:v>
      </ns0:c>
      <ns0:c r="D8" s="2">
        <ns0:f aca="0">B8*Proposta!$B$12</ns0:f>
        <ns0:v>8686.2125</ns0:v>
      </ns0:c>
    </ns0:row>
    <ns0:row r="9" ht="15" hidden="0">
      <ns0:c r="A9" t="s">
        <ns0:v>63</ns0:v>
      </ns0:c>
      <ns0:c r="B9" s="2">
        <ns0:f aca="0">Bases!B5*0.01</ns0:f>
        <ns0:v>94111.53</ns0:v>
      </ns0:c>
      <ns0:c r="C9" s="2">
        <ns0:f aca="0">B9*Proposta!$B$10</ns0:f>
        <ns0:v>61172.4945</ns0:v>
      </ns0:c>
      <ns0:c r="D9" s="2">
        <ns0:f aca="0">B9*Proposta!$B$12</ns0:f>
        <ns0:v>4705.5765</ns0:v>
      </ns0:c>
    </ns0:row>
    <ns0:row r="10" ht="15" hidden="0">
      <ns0:c r="A10" t="s">
        <ns0:v>64</ns0:v>
      </ns0:c>
      <ns0:c r="B10" s="2">
        <ns0:f aca="0">Bases!B6*0.01</ns0:f>
        <ns0:v>214370.11</ns0:v>
      </ns0:c>
      <ns0:c r="C10" s="2">
        <ns0:f aca="0">B10*Proposta!$B$10</ns0:f>
        <ns0:v>139340.5715</ns0:v>
      </ns0:c>
      <ns0:c r="D10" s="2">
        <ns0:f aca="0">B10*Proposta!$B$12</ns0:f>
        <ns0:v>10718.5055</ns0:v>
      </ns0:c>
    </ns0:row>
  </ns0:sheetData>
  <ns0:pageMargins left="0.7" right="0.7" top="0.75" bottom="0.75" header="0.3" footer="0.3"/>
</ns0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22" hidden="0" customWidth="1"/>
  </x:cols>
  <x:sheetData>
    <x:row r="1" ht="39.599998474121094" hidden="0" customHeight="1">
      <x:c r="A1" s="6" t="s">
        <x:v>65</x:v>
      </x:c>
      <x:c r="B1" s="7" t="s">
        <x:v>66</x:v>
      </x:c>
    </x:row>
    <x:row r="2" ht="39.599998474121094" hidden="0" customHeight="1">
      <x:c r="A2" s="7" t="s">
        <x:v>67</x:v>
      </x:c>
      <x:c r="B2" s="7" t="s">
        <x:v>68</x:v>
      </x:c>
    </x:row>
    <x:row r="3" ht="26.399999618530273" hidden="0" customHeight="1">
      <x:c r="A3" s="7" t="s">
        <x:v>69</x:v>
      </x:c>
      <x:c r="B3" s="7" t="s">
        <x:v>70</x:v>
      </x:c>
    </x:row>
    <x:row r="4" ht="39.599998474121094" hidden="0" customHeight="1">
      <x:c r="A4" s="7" t="s">
        <x:v>71</x:v>
      </x:c>
      <x:c r="B4" s="7" t="s">
        <x:v>72</x:v>
      </x:c>
    </x:row>
    <x:row r="5" ht="79.19999694824219" hidden="0" customHeight="1">
      <x:c r="A5" s="7" t="str">
        <x:v>Distorção qualitativa (partes relacionadas, remuneração, fraude) | V12-03 validada: atenção qualitativa; não representa limiar monetário específico determinado.</x:v>
      </x:c>
      <x:c r="B5" s="7" t="s">
        <x:v>73</x:v>
      </x:c>
    </x:row>
    <x:row r="6" ht="39.599998474121094" hidden="0" customHeight="1">
      <x:c r="A6" s="7" t="s">
        <x:v>74</x:v>
      </x:c>
      <x:c r="B6" s="7" t="s">
        <x:v>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22" hidden="0" customWidth="1"/>
  </x:cols>
  <x:sheetData>
    <x:row r="1" ht="15" hidden="0">
      <x:c r="A1" s="1" t="s">
        <x:v>76</x:v>
      </x:c>
      <x:c r="B1" s="4" t="s">
        <x:v>77</x:v>
      </x:c>
    </x:row>
    <x:row r="2" ht="15" hidden="0">
      <x:c r="A2" t="s">
        <x:v>78</x:v>
      </x:c>
      <x:c r="B2" t="s">
        <x:v>79</x:v>
      </x:c>
    </x:row>
    <x:row r="3" ht="15" hidden="0">
      <x:c r="A3" t="s">
        <x:v>80</x:v>
      </x:c>
      <x:c r="B3" t="s">
        <x:v>81</x:v>
      </x:c>
    </x:row>
  </x:sheetData>
  <x:pageMargins left="0.7" right="0.7" top="0.75" bottom="0.75" header="0.3" footer="0.3"/>
</x:worksheet>
</file>