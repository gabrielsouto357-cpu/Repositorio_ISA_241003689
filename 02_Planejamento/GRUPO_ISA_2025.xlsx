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_grupo" sheetId="1" state="visible" r:id="rId3"/>
    <sheet name="Matriz_componentes" sheetId="2" state="visible" r:id="rId4"/>
    <sheet name="Conferencias_consolidacao" sheetId="3" state="visible" r:id="rId5"/>
    <sheet name="Prestadores_402" sheetId="4" state="visible" r:id="rId6"/>
    <sheet name="Indisponive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<sst xmlns="http://schemas.openxmlformats.org/spreadsheetml/2006/main" count="580" uniqueCount="295">
  <si>
    <t xml:space="preserve">Mapa do grupo ISA Energia Brasil em 31/12/2025 (posição; eventos de 2026 separados). Fontes: F0003 p.40–41 (nota 2.5), p.58 (nota 6.5), p.59–62 (nota 7).</t>
  </si>
  <si>
    <t xml:space="preserve">Entidade</t>
  </si>
  <si>
    <t xml:space="preserve">Tipo em 31/12/2025</t>
  </si>
  <si>
    <t xml:space="preserve">Participação ISA</t>
  </si>
  <si>
    <t xml:space="preserve">Método nas DFs consolidadas</t>
  </si>
  <si>
    <t xml:space="preserve">Método nas DFs individuais</t>
  </si>
  <si>
    <t xml:space="preserve">Data-base</t>
  </si>
  <si>
    <t xml:space="preserve">Fundamento da classificação</t>
  </si>
  <si>
    <t xml:space="preserve">Fonte</t>
  </si>
  <si>
    <t xml:space="preserve">Evento posterior (2026) – não altera 31/12/2025</t>
  </si>
  <si>
    <t xml:space="preserve">ISA Energia Brasil S.A.</t>
  </si>
  <si>
    <t xml:space="preserve">Controladora (entidade que reporta)</t>
  </si>
  <si>
    <t xml:space="preserve">—</t>
  </si>
  <si>
    <t xml:space="preserve">Base do consolidado</t>
  </si>
  <si>
    <t xml:space="preserve">31/12/2025</t>
  </si>
  <si>
    <t xml:space="preserve">F0003 p.38–40</t>
  </si>
  <si>
    <t xml:space="preserve">IE Serra do Japi</t>
  </si>
  <si>
    <t xml:space="preserve">Controlada</t>
  </si>
  <si>
    <t xml:space="preserve">Consolidação integral</t>
  </si>
  <si>
    <t xml:space="preserve">Equivalência patrimonial</t>
  </si>
  <si>
    <t xml:space="preserve">Participação de 100% (controle – CPC 36/IFRS 10)</t>
  </si>
  <si>
    <t xml:space="preserve">F0003 p.40; F0268</t>
  </si>
  <si>
    <t xml:space="preserve">IEMG</t>
  </si>
  <si>
    <t xml:space="preserve">F0003 p.40; F0263</t>
  </si>
  <si>
    <t xml:space="preserve">IENNE</t>
  </si>
  <si>
    <t xml:space="preserve">F0003 p.40; F0264</t>
  </si>
  <si>
    <t xml:space="preserve">IE Pinheiros</t>
  </si>
  <si>
    <t xml:space="preserve">F0003 p.40; F0267</t>
  </si>
  <si>
    <t xml:space="preserve">Evrecy</t>
  </si>
  <si>
    <t xml:space="preserve">F0003 p.40; F0262</t>
  </si>
  <si>
    <t xml:space="preserve">IE Itaúnas</t>
  </si>
  <si>
    <t xml:space="preserve">F0003 p.40; F0265</t>
  </si>
  <si>
    <t xml:space="preserve">IE Tibagi</t>
  </si>
  <si>
    <t xml:space="preserve">F0003 p.40; F0269</t>
  </si>
  <si>
    <t xml:space="preserve">IE Itaquerê</t>
  </si>
  <si>
    <t xml:space="preserve">F0003 p.40; F0271</t>
  </si>
  <si>
    <t xml:space="preserve">IE Itapura</t>
  </si>
  <si>
    <t xml:space="preserve">F0003 p.40; F0276</t>
  </si>
  <si>
    <t xml:space="preserve">IE Aguapeí</t>
  </si>
  <si>
    <t xml:space="preserve">F0003 p.40; F0261</t>
  </si>
  <si>
    <t xml:space="preserve">IESul</t>
  </si>
  <si>
    <t xml:space="preserve">F0003 p.40; F0270</t>
  </si>
  <si>
    <t xml:space="preserve">IE Biguaçu</t>
  </si>
  <si>
    <t xml:space="preserve">F0003 p.40; F0260</t>
  </si>
  <si>
    <t xml:space="preserve">IE Riacho Grande</t>
  </si>
  <si>
    <t xml:space="preserve">F0003 p.40; F0275</t>
  </si>
  <si>
    <t xml:space="preserve">IE Jaguar 6</t>
  </si>
  <si>
    <t xml:space="preserve">F0003 p.40; F0272</t>
  </si>
  <si>
    <t xml:space="preserve">IE Jaguar 8</t>
  </si>
  <si>
    <t xml:space="preserve">F0003 p.40; F0273</t>
  </si>
  <si>
    <t xml:space="preserve">IE Jaguar 9</t>
  </si>
  <si>
    <t xml:space="preserve">F0003 p.40; F0274</t>
  </si>
  <si>
    <t xml:space="preserve">Fundo de Investimento RF Ref. DI Bandeirantes (adm. Bradesco)</t>
  </si>
  <si>
    <t xml:space="preserve">Fundo exclusivo consolidado (controlado)</t>
  </si>
  <si>
    <t xml:space="preserve">Consolidação integral, com participação de não controladores (R$ 285.544 mil)</t>
  </si>
  <si>
    <t xml:space="preserve">Aplicação financeira</t>
  </si>
  <si>
    <t xml:space="preserve">Participação direta e indireta; quotas restantes das controladas em conjunto viram não controladores; alterações de regulamento aprovadas pela ISA</t>
  </si>
  <si>
    <t xml:space="preserve">F0003 p.40 e p.58</t>
  </si>
  <si>
    <t xml:space="preserve">Fundo de Investimento Xavantes RF Ref. DI (adm. Itaú-Unibanco)</t>
  </si>
  <si>
    <t xml:space="preserve">Fundo de Investimento Assis RF Ref. DI (adm. Santander)</t>
  </si>
  <si>
    <t xml:space="preserve">Fundo de Investimento Barra Bonita RF Ref. DI LP (adm. Banco do Brasil)</t>
  </si>
  <si>
    <t xml:space="preserve">IE Madeira</t>
  </si>
  <si>
    <t xml:space="preserve">Controlada em conjunto (negócio em conjunto – joint venture)</t>
  </si>
  <si>
    <t xml:space="preserve">Acordo de Acionistas de 18/12/2008 prevê controle em conjunto (F0259 p.17). Participação de 51% NÃO implica controle: há controle conjunto contratual</t>
  </si>
  <si>
    <t xml:space="preserve">F0003 p.41, p.61; F0259</t>
  </si>
  <si>
    <t xml:space="preserve">CCVA de 19/03/2026 (F0102) e conclusão em 31/07/2026 (F0121): ISA passa a 100% e consolida a partir de ago/2026</t>
  </si>
  <si>
    <t xml:space="preserve">IE Garanhuns</t>
  </si>
  <si>
    <t xml:space="preserve">CA com metade indicada por cada acionista (51%/49%) (F0258 p.5). Participação de 51% NÃO implica controle: há controle conjunto contratual</t>
  </si>
  <si>
    <t xml:space="preserve">F0003 p.41, p.61; F0258</t>
  </si>
  <si>
    <t xml:space="preserve">Alienação dos 51% à Axia Nordeste concluída em 31/07/2026 (F0102, F0121); deixa a equivalência a partir de ago/2026</t>
  </si>
  <si>
    <t xml:space="preserve">IE Paraguaçu</t>
  </si>
  <si>
    <t xml:space="preserve">Controle compartilhado por Acordo de Acionistas (Taesa 50%) (F0279 p.3). Participação de 51% NÃO implica controle: há controle conjunto contratual</t>
  </si>
  <si>
    <t xml:space="preserve">F0003 p.41, p.61; F0279</t>
  </si>
  <si>
    <t xml:space="preserve">IE Aimorés</t>
  </si>
  <si>
    <t xml:space="preserve">Controle compartilhado por Acordo de Acionistas (Taesa 50%) (F0278 p.3). Participação de 51% NÃO implica controle: há controle conjunto contratual</t>
  </si>
  <si>
    <t xml:space="preserve">F0003 p.41, p.61; F0278</t>
  </si>
  <si>
    <t xml:space="preserve">IE Ivaí</t>
  </si>
  <si>
    <t xml:space="preserve">"controlada em conjunto" pela ISA e Taesa (F0266, nota 1). Participação de 51% NÃO implica controle: há controle conjunto contratual</t>
  </si>
  <si>
    <t xml:space="preserve">F0003 p.41, p.61; F0266</t>
  </si>
  <si>
    <t xml:space="preserve">Coligadas</t>
  </si>
  <si>
    <t xml:space="preserve">Nenhuma identificada</t>
  </si>
  <si>
    <t xml:space="preserve">A nota 2.5/7 lista só controladas e controladas em conjunto; termo "coligada" aparece 2 vezes no F0003, sem investida desse tipo</t>
  </si>
  <si>
    <t xml:space="preserve">F0003 p.40–41, p.59–62</t>
  </si>
  <si>
    <t xml:space="preserve">Operações em conjunto (IFRS 11)</t>
  </si>
  <si>
    <t xml:space="preserve">Não divulgada nas notas lidas</t>
  </si>
  <si>
    <t xml:space="preserve">F0003 nota 2.5</t>
  </si>
  <si>
    <t xml:space="preserve">Matriz de componentes (R$ mil). Métricas extraídas das DFs 2025 de cada componente (página indicada). Conferência: lucro × participação = equivalência da nota 7 (F0003 p.60–61).</t>
  </si>
  <si>
    <t xml:space="preserve">Consolidado: ativo total 47.201.372; receita 9.411.153; LAIR 2.780.309 (F0003 p.23–25). ME do grupo 90.000; CT 7.000 (D-014).</t>
  </si>
  <si>
    <t xml:space="preserve">Componente</t>
  </si>
  <si>
    <t xml:space="preserve">Tipo</t>
  </si>
  <si>
    <t xml:space="preserve">ID</t>
  </si>
  <si>
    <t xml:space="preserve">Auditor (relatório público)</t>
  </si>
  <si>
    <t xml:space="preserve">Data do relatório do componente</t>
  </si>
  <si>
    <t xml:space="preserve">Opinião</t>
  </si>
  <si>
    <t xml:space="preserve">Ativo total 2025</t>
  </si>
  <si>
    <t xml:space="preserve">Pág. ativo</t>
  </si>
  <si>
    <t xml:space="preserve">Receita líquida 2025</t>
  </si>
  <si>
    <t xml:space="preserve">Lucro líquido 2025</t>
  </si>
  <si>
    <t xml:space="preserve">Participação</t>
  </si>
  <si>
    <t xml:space="preserve">Equivalência nota 7 (2025)</t>
  </si>
  <si>
    <t xml:space="preserve">Diferença (lucro × part. − equiv.)</t>
  </si>
  <si>
    <t xml:space="preserve">Ativo total / ativo consolidado</t>
  </si>
  <si>
    <t xml:space="preserve">Investimento ISA (nota 7.2)</t>
  </si>
  <si>
    <t xml:space="preserve">Ativo da concessão 2025 (DF do componente)</t>
  </si>
  <si>
    <t xml:space="preserve">Abordagem proposta (PT 600 §6.3)</t>
  </si>
  <si>
    <t xml:space="preserve">F0268</t>
  </si>
  <si>
    <t xml:space="preserve">Deloitte Touche Tohmatsu</t>
  </si>
  <si>
    <t xml:space="preserve">31 de março de 2026</t>
  </si>
  <si>
    <t xml:space="preserve">Sem modificação</t>
  </si>
  <si>
    <t xml:space="preserve">Centralizada (ativo contratual testado como população única – base sintética)</t>
  </si>
  <si>
    <t xml:space="preserve">F0263</t>
  </si>
  <si>
    <t xml:space="preserve">F0264</t>
  </si>
  <si>
    <t xml:space="preserve">F0267</t>
  </si>
  <si>
    <t xml:space="preserve">F0262</t>
  </si>
  <si>
    <t xml:space="preserve">F0265</t>
  </si>
  <si>
    <t xml:space="preserve">F0269</t>
  </si>
  <si>
    <t xml:space="preserve">F0271</t>
  </si>
  <si>
    <t xml:space="preserve">F0276</t>
  </si>
  <si>
    <t xml:space="preserve">F0261</t>
  </si>
  <si>
    <t xml:space="preserve">F0270</t>
  </si>
  <si>
    <t xml:space="preserve">F0260</t>
  </si>
  <si>
    <t xml:space="preserve">F0275</t>
  </si>
  <si>
    <t xml:space="preserve">Centralizada + procedimentos específicos na informação desagregada (energização 2025 / obra Jacarandá)</t>
  </si>
  <si>
    <t xml:space="preserve">F0272</t>
  </si>
  <si>
    <t xml:space="preserve">F0273</t>
  </si>
  <si>
    <t xml:space="preserve">F0274</t>
  </si>
  <si>
    <t xml:space="preserve">Controlada em conjunto</t>
  </si>
  <si>
    <t xml:space="preserve">F0259</t>
  </si>
  <si>
    <t xml:space="preserve">4 de fevereiro de 2026</t>
  </si>
  <si>
    <t xml:space="preserve">n/a (não consolidado)</t>
  </si>
  <si>
    <t xml:space="preserve">Equivalência: recálculo da participação e leitura das DFs auditadas; comunicação do auditor do componente [PA]</t>
  </si>
  <si>
    <t xml:space="preserve">F0258</t>
  </si>
  <si>
    <t xml:space="preserve">10 de março de 2026</t>
  </si>
  <si>
    <t xml:space="preserve">F0279</t>
  </si>
  <si>
    <t xml:space="preserve">26 de março de 2026</t>
  </si>
  <si>
    <t xml:space="preserve">F0278</t>
  </si>
  <si>
    <t xml:space="preserve">F0266</t>
  </si>
  <si>
    <t xml:space="preserve">Soma das controladas</t>
  </si>
  <si>
    <t xml:space="preserve">Soma das controladas em conjunto</t>
  </si>
  <si>
    <t xml:space="preserve">Equivalência consolidada publicada (F0003 p.62)</t>
  </si>
  <si>
    <t xml:space="preserve">Diferença entre soma e publicado</t>
  </si>
  <si>
    <t xml:space="preserve">Conferências de consolidação com dados públicos (R$ mil) – procedimentos [RP]; não substituem o acesso ao pacote de consolidação</t>
  </si>
  <si>
    <t xml:space="preserve">Item</t>
  </si>
  <si>
    <t xml:space="preserve">Valor A</t>
  </si>
  <si>
    <t xml:space="preserve">Valor B</t>
  </si>
  <si>
    <t xml:space="preserve">Valor C</t>
  </si>
  <si>
    <t xml:space="preserve">Resultado (fórmula)</t>
  </si>
  <si>
    <t xml:space="preserve">Fonte / interpretação</t>
  </si>
  <si>
    <t xml:space="preserve">C1 Ativo da concessão: consolidado − controladora × soma das 16 controladas (DFs dos componentes)</t>
  </si>
  <si>
    <t xml:space="preserve">F0003 p.45 (nota 5.3, inclui O&amp;M); DFs F0260–F0276 (balanços). Diferença 0 = ativo de concessão das controladas sem ajuste de consolidação</t>
  </si>
  <si>
    <t xml:space="preserve">C2 Patrimônio líquido: consolidado = controladora + não controladores dos fundos</t>
  </si>
  <si>
    <t xml:space="preserve">F0003 p.24 (P28, P29, P30) e p.40</t>
  </si>
  <si>
    <t xml:space="preserve">C3 Equivalência: controladas (lucro × 100%) − nota 7.2</t>
  </si>
  <si>
    <t xml:space="preserve">Diferenças de arredondamento (R$ mil) entre DFs dos componentes e nota 7.2 (F0003 p.60)</t>
  </si>
  <si>
    <t xml:space="preserve">C4 Equivalência consolidada: soma das controladas em conjunto × publicado</t>
  </si>
  <si>
    <t xml:space="preserve">F0003 p.61–62</t>
  </si>
  <si>
    <t xml:space="preserve">C5 Investimento consolidado = soma dos investimentos em controladas em conjunto</t>
  </si>
  <si>
    <t xml:space="preserve">F0003 p.23 (A17) e p.61</t>
  </si>
  <si>
    <t xml:space="preserve">C6 Ativo total: controladora + soma das controladas − consolidado = eliminações e efeitos dos fundos (não divulgados)</t>
  </si>
  <si>
    <t xml:space="preserve">F0003 p.23. Contém, entre outros, investimentos em controladas eliminados (7.264.449 = 11.419.264 − 4.154.815, nota 7.2) e saldos entre partes relacionadas. Composição exata: INDISPONÍVEL</t>
  </si>
  <si>
    <t xml:space="preserve">C6a Parte explicada: investimentos em controladas eliminados</t>
  </si>
  <si>
    <t xml:space="preserve">Resíduo = outros saldos eliminados/efeitos dos fundos – a explicar com o pacote de consolidação [PA]</t>
  </si>
  <si>
    <t xml:space="preserve">Organizações prestadoras de serviços e terceiros relevantes para a informação financeira (PT 402). D = identificado documentalmente; H = hipótese a verificar</t>
  </si>
  <si>
    <t xml:space="preserve">Prestador</t>
  </si>
  <si>
    <t xml:space="preserve">Serviço</t>
  </si>
  <si>
    <t xml:space="preserve">Natureza (D/H)</t>
  </si>
  <si>
    <t xml:space="preserve">Fonte (ID, página)</t>
  </si>
  <si>
    <t xml:space="preserve">Contas / afirmações afetadas</t>
  </si>
  <si>
    <t xml:space="preserve">É organização prestadora de serviços (NBC TA 402)?</t>
  </si>
  <si>
    <t xml:space="preserve">Relatório tipo 1/2 disponível?</t>
  </si>
  <si>
    <t xml:space="preserve">Controles complementares esperados na ISA</t>
  </si>
  <si>
    <t xml:space="preserve">Procedimentos alternativos (it. 12, 16)</t>
  </si>
  <si>
    <t xml:space="preserve">Risco ligado</t>
  </si>
  <si>
    <t xml:space="preserve">S1</t>
  </si>
  <si>
    <t xml:space="preserve">Banco Bradesco (administrador)</t>
  </si>
  <si>
    <t xml:space="preserve">Administração do FI RF Ref. DI Bandeirantes (cota, carteira, custódia)</t>
  </si>
  <si>
    <t xml:space="preserve">D</t>
  </si>
  <si>
    <t xml:space="preserve">F0003 p.58</t>
  </si>
  <si>
    <t xml:space="preserve">Aplicações financeiras e caixa (existência, avaliação); não controladores dos fundos</t>
  </si>
  <si>
    <t xml:space="preserve">Sim – administração/custódia de fundo afeta o registro (A1–A3)</t>
  </si>
  <si>
    <t xml:space="preserve">Não localizado em fonte pública (não obtido)</t>
  </si>
  <si>
    <t xml:space="preserve">Conciliação mensal cota × extrato; aprovação de movimentações; revisão do regulamento</t>
  </si>
  <si>
    <t xml:space="preserve">Confirmação do saldo de cotas e do valor da cota com o administrador [PA]; recálculo de rendimento com CDI [RP]; leitura das DFs auditadas do fundo (não disponíveis – P13)</t>
  </si>
  <si>
    <t xml:space="preserve">R10, R18</t>
  </si>
  <si>
    <t xml:space="preserve">S2</t>
  </si>
  <si>
    <t xml:space="preserve">Banco Itaú-Unibanco (administrador)</t>
  </si>
  <si>
    <t xml:space="preserve">Administração do FI Xavantes RF Ref. DI</t>
  </si>
  <si>
    <t xml:space="preserve">Idem S1</t>
  </si>
  <si>
    <t xml:space="preserve">Sim</t>
  </si>
  <si>
    <t xml:space="preserve">Não localizado</t>
  </si>
  <si>
    <t xml:space="preserve">Idem</t>
  </si>
  <si>
    <t xml:space="preserve">S3</t>
  </si>
  <si>
    <t xml:space="preserve">Banco Santander (administrador)</t>
  </si>
  <si>
    <t xml:space="preserve">Administração do FI Assis RF Ref. DI</t>
  </si>
  <si>
    <t xml:space="preserve">S4</t>
  </si>
  <si>
    <t xml:space="preserve">Banco do Brasil (administrador)</t>
  </si>
  <si>
    <t xml:space="preserve">Administração do FI Barra Bonita RF Ref. DI LP</t>
  </si>
  <si>
    <t xml:space="preserve">S5</t>
  </si>
  <si>
    <t xml:space="preserve">ONS – Operador Nacional do Sistema Elétrico</t>
  </si>
  <si>
    <t xml:space="preserve">Apuração e informação mensal do faturamento (AVC) dos usuários, parcela variável e administração de garantias</t>
  </si>
  <si>
    <t xml:space="preserve">F0003 p.45 (nota 5.3(i)), p.47</t>
  </si>
  <si>
    <t xml:space="preserve">Recebimentos e receita de O&amp;M; contas a receber; perda esperada (ocorrência, exatidão, avaliação)</t>
  </si>
  <si>
    <t xml:space="preserve">Em parte: entidade regulada sem contrato de serviço com a ISA; suas apurações entram no sistema de informação da ISA (tratar por analogia, it. 9)</t>
  </si>
  <si>
    <t xml:space="preserve">Não existe relatório tipo 1/2 público conhecido</t>
  </si>
  <si>
    <t xml:space="preserve">Conferência dos AVC com a RAP homologada; acompanhamento de inadimplência e garantias</t>
  </si>
  <si>
    <t xml:space="preserve">Recálculo RAP × faturamento por contrato [RP/SD]; inspeção dos AVC [PA]; confirmação de saldos com usuários [PA]</t>
  </si>
  <si>
    <t xml:space="preserve">R02, R03, R04</t>
  </si>
  <si>
    <t xml:space="preserve">S6</t>
  </si>
  <si>
    <t xml:space="preserve">Vivest (Fundação CESP)</t>
  </si>
  <si>
    <t xml:space="preserve">Administração dos planos de previdência e processamento da folha de complementação da Lei 4.819/58 (por determinação da SEFAZ desde dez/2017)</t>
  </si>
  <si>
    <t xml:space="preserve">F0003 p.72, p.78, p.82</t>
  </si>
  <si>
    <t xml:space="preserve">Recebível SEFAZ (R$ 2.760.806 mil); obrigações de benefício pós-emprego</t>
  </si>
  <si>
    <t xml:space="preserve">Sim para a folha e para a administração do plano (processa transações que afetam os registros)</t>
  </si>
  <si>
    <t xml:space="preserve">Conciliação dos repasses à Vivest × valores recebidos da SEFAZ; revisão do relatório atuarial</t>
  </si>
  <si>
    <t xml:space="preserve">Confirmação com a Vivest dos repasses e saldos [PA]; leitura das notas 9 e 11 [RP]; avaliação do atuário como especialista da administração (NBC TA 500) [PA]</t>
  </si>
  <si>
    <t xml:space="preserve">R05</t>
  </si>
  <si>
    <t xml:space="preserve">S7</t>
  </si>
  <si>
    <t xml:space="preserve">Atuário independente (não identificado nominalmente)</t>
  </si>
  <si>
    <t xml:space="preserve">Avaliação atuarial do PSAP e dos benefícios</t>
  </si>
  <si>
    <t xml:space="preserve">D (sem nome)</t>
  </si>
  <si>
    <t xml:space="preserve">F0003 p.79</t>
  </si>
  <si>
    <t xml:space="preserve">Benefício pós-emprego; ORA</t>
  </si>
  <si>
    <t xml:space="preserve">Não: é especialista da administração (NBC TA 500), não organização prestadora de serviços</t>
  </si>
  <si>
    <t xml:space="preserve">PT 500/540: competência e objetividade do especialista; premissas [PA]</t>
  </si>
  <si>
    <t xml:space="preserve">R09</t>
  </si>
  <si>
    <t xml:space="preserve">S8</t>
  </si>
  <si>
    <t xml:space="preserve">Taesa (sócia e administradora)</t>
  </si>
  <si>
    <t xml:space="preserve">Atividades administrativas e O&amp;M de IE Aimorés e IE Paraguaçu (compartilhamento de infraestrutura e RH)</t>
  </si>
  <si>
    <t xml:space="preserve">F0278 p.3 e p.22 (Aimorés); F0279 (Paraguaçu, mesma estrutura)</t>
  </si>
  <si>
    <t xml:space="preserve">Investimentos e equivalência (R08): as DFs das JVs são elaboradas sob administração da Taesa</t>
  </si>
  <si>
    <t xml:space="preserve">Para a ISA, é fonte da informação financeira da JV (via DFs auditadas), não prestadora contratada da ISA</t>
  </si>
  <si>
    <t xml:space="preserve">Não aplicável/não localizado</t>
  </si>
  <si>
    <t xml:space="preserve">Revisão pela ISA das informações das JVs antes da equivalência</t>
  </si>
  <si>
    <t xml:space="preserve">Leitura das DFs auditadas (Deloitte, 26/03/2026) [RP]; recálculo da equivalência [RP]; comunicação com o auditor do componente [PA]</t>
  </si>
  <si>
    <t xml:space="preserve">R08</t>
  </si>
  <si>
    <t xml:space="preserve">S9</t>
  </si>
  <si>
    <t xml:space="preserve">ISA Energia Brasil (centro de serviços compartilhados)</t>
  </si>
  <si>
    <t xml:space="preserve">Presta às controladas serviços administrativos compartilhados, O&amp;M, engenharia e gestão de obras</t>
  </si>
  <si>
    <t xml:space="preserve">F0261 p.32 (nota de partes relacionadas da IE Aguapeí; mesma estrutura nas demais)</t>
  </si>
  <si>
    <t xml:space="preserve">Processos contábeis e de medição das controladas (centralizados)</t>
  </si>
  <si>
    <t xml:space="preserve">Não: serviço intragrupo – tratado no PT 600 como processo centralizado</t>
  </si>
  <si>
    <t xml:space="preserve">Testes centralizados no grupo (PT 600 §6.3)</t>
  </si>
  <si>
    <t xml:space="preserve">R01, R02, R19</t>
  </si>
  <si>
    <t xml:space="preserve">S10</t>
  </si>
  <si>
    <t xml:space="preserve">Oliveira Trust</t>
  </si>
  <si>
    <t xml:space="preserve">Escriturador das 18ª e 19ª emissões de debêntures</t>
  </si>
  <si>
    <t xml:space="preserve">F0059 e F0064 (atas da RCA 05/2025 e 10/2025)</t>
  </si>
  <si>
    <t xml:space="preserve">Debêntures (existência, titularidade) – efeito baixo no valor contábil</t>
  </si>
  <si>
    <t xml:space="preserve">Em parte: escrituração de títulos; baixo efeito nas DFs</t>
  </si>
  <si>
    <t xml:space="preserve">Conciliação do saldo escritural × razão</t>
  </si>
  <si>
    <t xml:space="preserve">Confirmação com o escriturador/agente fiduciário [PA]</t>
  </si>
  <si>
    <t xml:space="preserve">R06</t>
  </si>
  <si>
    <t xml:space="preserve">S11</t>
  </si>
  <si>
    <t xml:space="preserve">Provedor de sistemas/ERP, hospedagem ou nuvem</t>
  </si>
  <si>
    <t xml:space="preserve">Processamento contábil e de faturamento</t>
  </si>
  <si>
    <t xml:space="preserve">H</t>
  </si>
  <si>
    <t xml:space="preserve">FRE cita gastos com consultoria de TI (F0053); sistemas não descritos (P20)</t>
  </si>
  <si>
    <t xml:space="preserve">Todas as contas</t>
  </si>
  <si>
    <t xml:space="preserve">A verificar</t>
  </si>
  <si>
    <t xml:space="preserve">Desconhecido</t>
  </si>
  <si>
    <t xml:space="preserve">Controles gerais de TI (acesso, mudanças)</t>
  </si>
  <si>
    <t xml:space="preserve">Indagação e inspeção de contratos [PA]</t>
  </si>
  <si>
    <t xml:space="preserve">R16, todos</t>
  </si>
  <si>
    <t xml:space="preserve">S12</t>
  </si>
  <si>
    <t xml:space="preserve">Processamento de folha de pagamento (ISA)</t>
  </si>
  <si>
    <t xml:space="preserve">Folha da companhia</t>
  </si>
  <si>
    <t xml:space="preserve">Não identificado</t>
  </si>
  <si>
    <t xml:space="preserve">Despesas de pessoal; obrigações trabalhistas (baixa materialidade)</t>
  </si>
  <si>
    <t xml:space="preserve">Indagação [PA]; analítico de pessoal [RP]</t>
  </si>
  <si>
    <t xml:space="preserve">Informações indisponíveis e sua utilidade (não inventadas; tratadas como limitação ou procedimento [PA])</t>
  </si>
  <si>
    <t xml:space="preserve">Informação</t>
  </si>
  <si>
    <t xml:space="preserve">Utilidade para o trabalho</t>
  </si>
  <si>
    <t xml:space="preserve">Situação</t>
  </si>
  <si>
    <t xml:space="preserve">Pendência</t>
  </si>
  <si>
    <t xml:space="preserve">Pacote de consolidação (eliminações por natureza)</t>
  </si>
  <si>
    <t xml:space="preserve">Explicar o resíduo da conferência C6 e testar eliminações (PG-CONS)</t>
  </si>
  <si>
    <t xml:space="preserve">Não público</t>
  </si>
  <si>
    <t xml:space="preserve">P25</t>
  </si>
  <si>
    <t xml:space="preserve">Comunicações entre o auditor do grupo e os auditores dos componentes (instruções, relatórios, papéis)</t>
  </si>
  <si>
    <t xml:space="preserve">NBC TA 600 it. 29–32, 45–48</t>
  </si>
  <si>
    <t xml:space="preserve">Não públicas; NÃO foram presumidas</t>
  </si>
  <si>
    <t xml:space="preserve">Pacotes de reporte dos componentes para o grupo (datados antes de 24/02/2026)</t>
  </si>
  <si>
    <t xml:space="preserve">Os relatórios estatutários dos componentes são de 31/03/2026 (posteriores ao relatório do grupo de 24/02/2026); o auditor do grupo usou outra evidência, não pública</t>
  </si>
  <si>
    <t xml:space="preserve">Acordos de acionistas das JVs (íntegra)</t>
  </si>
  <si>
    <t xml:space="preserve">Confirmar cláusulas de controle conjunto (decisões unânimes)</t>
  </si>
  <si>
    <t xml:space="preserve">Não localizados; existência citada nas DFs das JVs (F0259 p.17; F0278; F0279)</t>
  </si>
  <si>
    <t xml:space="preserve">P26</t>
  </si>
  <si>
    <t xml:space="preserve">DFs e regulamentos dos 4 fundos exclusivos</t>
  </si>
  <si>
    <t xml:space="preserve">Confirmar controle, cotas e não controladores (R$ 285.544 mil)</t>
  </si>
  <si>
    <t xml:space="preserve">Não localizados</t>
  </si>
  <si>
    <t xml:space="preserve">P13</t>
  </si>
  <si>
    <t xml:space="preserve">Relatórios tipo 1/tipo 2 (ISAE 3402/NBC TO 3402) dos administradores dos fundos, da Vivest ou de provedores de TI</t>
  </si>
  <si>
    <t xml:space="preserve">NBC TA 402 it. 12–17</t>
  </si>
  <si>
    <t xml:space="preserve">Não localizados em fonte pública; NÃO examinados</t>
  </si>
  <si>
    <t xml:space="preserve">P27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</si>
</sst>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;\(#,##0\)"/>
    <numFmt numFmtId="167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8" min="8" style="0" width="24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3" t="s">
        <v>11</v>
      </c>
      <c r="C4" s="3" t="s">
        <v>12</v>
      </c>
      <c r="D4" s="3" t="s">
        <v>13</v>
      </c>
      <c r="E4" s="3" t="s">
        <v>12</v>
      </c>
      <c r="F4" s="3" t="s">
        <v>14</v>
      </c>
      <c r="G4" s="3" t="s">
        <v>12</v>
      </c>
      <c r="H4" s="3" t="s">
        <v>15</v>
      </c>
      <c r="I4" s="3"/>
    </row>
    <row r="5" customFormat="false" ht="15" hidden="false" customHeight="false" outlineLevel="0" collapsed="false">
      <c r="A5" s="3" t="s">
        <v>16</v>
      </c>
      <c r="B5" s="3" t="s">
        <v>17</v>
      </c>
      <c r="C5" s="4" t="n">
        <v>1</v>
      </c>
      <c r="D5" s="3" t="s">
        <v>18</v>
      </c>
      <c r="E5" s="3" t="s">
        <v>19</v>
      </c>
      <c r="F5" s="3" t="s">
        <v>14</v>
      </c>
      <c r="G5" s="3" t="s">
        <v>20</v>
      </c>
      <c r="H5" s="3" t="s">
        <v>21</v>
      </c>
      <c r="I5" s="3"/>
    </row>
    <row r="6" customFormat="false" ht="15" hidden="false" customHeight="false" outlineLevel="0" collapsed="false">
      <c r="A6" s="3" t="s">
        <v>22</v>
      </c>
      <c r="B6" s="3" t="s">
        <v>17</v>
      </c>
      <c r="C6" s="4" t="n">
        <v>1</v>
      </c>
      <c r="D6" s="3" t="s">
        <v>18</v>
      </c>
      <c r="E6" s="3" t="s">
        <v>19</v>
      </c>
      <c r="F6" s="3" t="s">
        <v>14</v>
      </c>
      <c r="G6" s="3" t="s">
        <v>20</v>
      </c>
      <c r="H6" s="3" t="s">
        <v>23</v>
      </c>
      <c r="I6" s="3"/>
    </row>
    <row r="7" customFormat="false" ht="15" hidden="false" customHeight="false" outlineLevel="0" collapsed="false">
      <c r="A7" s="3" t="s">
        <v>24</v>
      </c>
      <c r="B7" s="3" t="s">
        <v>17</v>
      </c>
      <c r="C7" s="4" t="n">
        <v>1</v>
      </c>
      <c r="D7" s="3" t="s">
        <v>18</v>
      </c>
      <c r="E7" s="3" t="s">
        <v>19</v>
      </c>
      <c r="F7" s="3" t="s">
        <v>14</v>
      </c>
      <c r="G7" s="3" t="s">
        <v>20</v>
      </c>
      <c r="H7" s="3" t="s">
        <v>25</v>
      </c>
      <c r="I7" s="3"/>
    </row>
    <row r="8" customFormat="false" ht="15" hidden="false" customHeight="false" outlineLevel="0" collapsed="false">
      <c r="A8" s="3" t="s">
        <v>26</v>
      </c>
      <c r="B8" s="3" t="s">
        <v>17</v>
      </c>
      <c r="C8" s="4" t="n">
        <v>1</v>
      </c>
      <c r="D8" s="3" t="s">
        <v>18</v>
      </c>
      <c r="E8" s="3" t="s">
        <v>19</v>
      </c>
      <c r="F8" s="3" t="s">
        <v>14</v>
      </c>
      <c r="G8" s="3" t="s">
        <v>20</v>
      </c>
      <c r="H8" s="3" t="s">
        <v>27</v>
      </c>
      <c r="I8" s="3"/>
    </row>
    <row r="9" customFormat="false" ht="15" hidden="false" customHeight="false" outlineLevel="0" collapsed="false">
      <c r="A9" s="3" t="s">
        <v>28</v>
      </c>
      <c r="B9" s="3" t="s">
        <v>17</v>
      </c>
      <c r="C9" s="4" t="n">
        <v>1</v>
      </c>
      <c r="D9" s="3" t="s">
        <v>18</v>
      </c>
      <c r="E9" s="3" t="s">
        <v>19</v>
      </c>
      <c r="F9" s="3" t="s">
        <v>14</v>
      </c>
      <c r="G9" s="3" t="s">
        <v>20</v>
      </c>
      <c r="H9" s="3" t="s">
        <v>29</v>
      </c>
      <c r="I9" s="3"/>
    </row>
    <row r="10" customFormat="false" ht="15" hidden="false" customHeight="false" outlineLevel="0" collapsed="false">
      <c r="A10" s="3" t="s">
        <v>30</v>
      </c>
      <c r="B10" s="3" t="s">
        <v>17</v>
      </c>
      <c r="C10" s="4" t="n">
        <v>1</v>
      </c>
      <c r="D10" s="3" t="s">
        <v>18</v>
      </c>
      <c r="E10" s="3" t="s">
        <v>19</v>
      </c>
      <c r="F10" s="3" t="s">
        <v>14</v>
      </c>
      <c r="G10" s="3" t="s">
        <v>20</v>
      </c>
      <c r="H10" s="3" t="s">
        <v>31</v>
      </c>
      <c r="I10" s="3"/>
    </row>
    <row r="11" customFormat="false" ht="15" hidden="false" customHeight="false" outlineLevel="0" collapsed="false">
      <c r="A11" s="3" t="s">
        <v>32</v>
      </c>
      <c r="B11" s="3" t="s">
        <v>17</v>
      </c>
      <c r="C11" s="4" t="n">
        <v>1</v>
      </c>
      <c r="D11" s="3" t="s">
        <v>18</v>
      </c>
      <c r="E11" s="3" t="s">
        <v>19</v>
      </c>
      <c r="F11" s="3" t="s">
        <v>14</v>
      </c>
      <c r="G11" s="3" t="s">
        <v>20</v>
      </c>
      <c r="H11" s="3" t="s">
        <v>33</v>
      </c>
      <c r="I11" s="3"/>
    </row>
    <row r="12" customFormat="false" ht="15" hidden="false" customHeight="false" outlineLevel="0" collapsed="false">
      <c r="A12" s="3" t="s">
        <v>34</v>
      </c>
      <c r="B12" s="3" t="s">
        <v>17</v>
      </c>
      <c r="C12" s="4" t="n">
        <v>1</v>
      </c>
      <c r="D12" s="3" t="s">
        <v>18</v>
      </c>
      <c r="E12" s="3" t="s">
        <v>19</v>
      </c>
      <c r="F12" s="3" t="s">
        <v>14</v>
      </c>
      <c r="G12" s="3" t="s">
        <v>20</v>
      </c>
      <c r="H12" s="3" t="s">
        <v>35</v>
      </c>
      <c r="I12" s="3"/>
    </row>
    <row r="13" customFormat="false" ht="15" hidden="false" customHeight="false" outlineLevel="0" collapsed="false">
      <c r="A13" s="3" t="s">
        <v>36</v>
      </c>
      <c r="B13" s="3" t="s">
        <v>17</v>
      </c>
      <c r="C13" s="4" t="n">
        <v>1</v>
      </c>
      <c r="D13" s="3" t="s">
        <v>18</v>
      </c>
      <c r="E13" s="3" t="s">
        <v>19</v>
      </c>
      <c r="F13" s="3" t="s">
        <v>14</v>
      </c>
      <c r="G13" s="3" t="s">
        <v>20</v>
      </c>
      <c r="H13" s="3" t="s">
        <v>37</v>
      </c>
      <c r="I13" s="3"/>
    </row>
    <row r="14" customFormat="false" ht="15" hidden="false" customHeight="false" outlineLevel="0" collapsed="false">
      <c r="A14" s="3" t="s">
        <v>38</v>
      </c>
      <c r="B14" s="3" t="s">
        <v>17</v>
      </c>
      <c r="C14" s="4" t="n">
        <v>1</v>
      </c>
      <c r="D14" s="3" t="s">
        <v>18</v>
      </c>
      <c r="E14" s="3" t="s">
        <v>19</v>
      </c>
      <c r="F14" s="3" t="s">
        <v>14</v>
      </c>
      <c r="G14" s="3" t="s">
        <v>20</v>
      </c>
      <c r="H14" s="3" t="s">
        <v>39</v>
      </c>
      <c r="I14" s="3"/>
    </row>
    <row r="15" customFormat="false" ht="15" hidden="false" customHeight="false" outlineLevel="0" collapsed="false">
      <c r="A15" s="3" t="s">
        <v>40</v>
      </c>
      <c r="B15" s="3" t="s">
        <v>17</v>
      </c>
      <c r="C15" s="4" t="n">
        <v>1</v>
      </c>
      <c r="D15" s="3" t="s">
        <v>18</v>
      </c>
      <c r="E15" s="3" t="s">
        <v>19</v>
      </c>
      <c r="F15" s="3" t="s">
        <v>14</v>
      </c>
      <c r="G15" s="3" t="s">
        <v>20</v>
      </c>
      <c r="H15" s="3" t="s">
        <v>41</v>
      </c>
      <c r="I15" s="3"/>
    </row>
    <row r="16" customFormat="false" ht="15" hidden="false" customHeight="false" outlineLevel="0" collapsed="false">
      <c r="A16" s="3" t="s">
        <v>42</v>
      </c>
      <c r="B16" s="3" t="s">
        <v>17</v>
      </c>
      <c r="C16" s="4" t="n">
        <v>1</v>
      </c>
      <c r="D16" s="3" t="s">
        <v>18</v>
      </c>
      <c r="E16" s="3" t="s">
        <v>19</v>
      </c>
      <c r="F16" s="3" t="s">
        <v>14</v>
      </c>
      <c r="G16" s="3" t="s">
        <v>20</v>
      </c>
      <c r="H16" s="3" t="s">
        <v>43</v>
      </c>
      <c r="I16" s="3"/>
    </row>
    <row r="17" customFormat="false" ht="15" hidden="false" customHeight="false" outlineLevel="0" collapsed="false">
      <c r="A17" s="3" t="s">
        <v>44</v>
      </c>
      <c r="B17" s="3" t="s">
        <v>17</v>
      </c>
      <c r="C17" s="4" t="n">
        <v>1</v>
      </c>
      <c r="D17" s="3" t="s">
        <v>18</v>
      </c>
      <c r="E17" s="3" t="s">
        <v>19</v>
      </c>
      <c r="F17" s="3" t="s">
        <v>14</v>
      </c>
      <c r="G17" s="3" t="s">
        <v>20</v>
      </c>
      <c r="H17" s="3" t="s">
        <v>45</v>
      </c>
      <c r="I17" s="3"/>
    </row>
    <row r="18" customFormat="false" ht="15" hidden="false" customHeight="false" outlineLevel="0" collapsed="false">
      <c r="A18" s="3" t="s">
        <v>46</v>
      </c>
      <c r="B18" s="3" t="s">
        <v>17</v>
      </c>
      <c r="C18" s="4" t="n">
        <v>1</v>
      </c>
      <c r="D18" s="3" t="s">
        <v>18</v>
      </c>
      <c r="E18" s="3" t="s">
        <v>19</v>
      </c>
      <c r="F18" s="3" t="s">
        <v>14</v>
      </c>
      <c r="G18" s="3" t="s">
        <v>20</v>
      </c>
      <c r="H18" s="3" t="s">
        <v>47</v>
      </c>
      <c r="I18" s="3"/>
    </row>
    <row r="19" customFormat="false" ht="15" hidden="false" customHeight="false" outlineLevel="0" collapsed="false">
      <c r="A19" s="3" t="s">
        <v>48</v>
      </c>
      <c r="B19" s="3" t="s">
        <v>17</v>
      </c>
      <c r="C19" s="4" t="n">
        <v>1</v>
      </c>
      <c r="D19" s="3" t="s">
        <v>18</v>
      </c>
      <c r="E19" s="3" t="s">
        <v>19</v>
      </c>
      <c r="F19" s="3" t="s">
        <v>14</v>
      </c>
      <c r="G19" s="3" t="s">
        <v>20</v>
      </c>
      <c r="H19" s="3" t="s">
        <v>49</v>
      </c>
      <c r="I19" s="3"/>
    </row>
    <row r="20" customFormat="false" ht="15" hidden="false" customHeight="false" outlineLevel="0" collapsed="false">
      <c r="A20" s="3" t="s">
        <v>50</v>
      </c>
      <c r="B20" s="3" t="s">
        <v>17</v>
      </c>
      <c r="C20" s="4" t="n">
        <v>1</v>
      </c>
      <c r="D20" s="3" t="s">
        <v>18</v>
      </c>
      <c r="E20" s="3" t="s">
        <v>19</v>
      </c>
      <c r="F20" s="3" t="s">
        <v>14</v>
      </c>
      <c r="G20" s="3" t="s">
        <v>20</v>
      </c>
      <c r="H20" s="3" t="s">
        <v>51</v>
      </c>
      <c r="I20" s="3"/>
    </row>
    <row r="21" customFormat="false" ht="41.75" hidden="false" customHeight="false" outlineLevel="0" collapsed="false">
      <c r="A21" s="3" t="s">
        <v>52</v>
      </c>
      <c r="B21" s="3" t="s">
        <v>53</v>
      </c>
      <c r="C21" s="4" t="n">
        <v>0.49</v>
      </c>
      <c r="D21" s="3" t="s">
        <v>54</v>
      </c>
      <c r="E21" s="3" t="s">
        <v>55</v>
      </c>
      <c r="F21" s="3" t="s">
        <v>14</v>
      </c>
      <c r="G21" s="3" t="s">
        <v>56</v>
      </c>
      <c r="H21" s="3" t="s">
        <v>57</v>
      </c>
      <c r="I21" s="3"/>
    </row>
    <row r="22" customFormat="false" ht="41.75" hidden="false" customHeight="false" outlineLevel="0" collapsed="false">
      <c r="A22" s="3" t="s">
        <v>58</v>
      </c>
      <c r="B22" s="3" t="s">
        <v>53</v>
      </c>
      <c r="C22" s="4" t="n">
        <v>0.58</v>
      </c>
      <c r="D22" s="3" t="s">
        <v>54</v>
      </c>
      <c r="E22" s="3" t="s">
        <v>55</v>
      </c>
      <c r="F22" s="3" t="s">
        <v>14</v>
      </c>
      <c r="G22" s="3" t="s">
        <v>56</v>
      </c>
      <c r="H22" s="3" t="s">
        <v>57</v>
      </c>
      <c r="I22" s="3"/>
    </row>
    <row r="23" customFormat="false" ht="41.75" hidden="false" customHeight="false" outlineLevel="0" collapsed="false">
      <c r="A23" s="3" t="s">
        <v>59</v>
      </c>
      <c r="B23" s="3" t="s">
        <v>53</v>
      </c>
      <c r="C23" s="4" t="n">
        <v>1</v>
      </c>
      <c r="D23" s="3" t="s">
        <v>54</v>
      </c>
      <c r="E23" s="3" t="s">
        <v>55</v>
      </c>
      <c r="F23" s="3" t="s">
        <v>14</v>
      </c>
      <c r="G23" s="3" t="s">
        <v>56</v>
      </c>
      <c r="H23" s="3" t="s">
        <v>57</v>
      </c>
      <c r="I23" s="3"/>
    </row>
    <row r="24" customFormat="false" ht="41.75" hidden="false" customHeight="false" outlineLevel="0" collapsed="false">
      <c r="A24" s="3" t="s">
        <v>60</v>
      </c>
      <c r="B24" s="3" t="s">
        <v>53</v>
      </c>
      <c r="C24" s="4" t="n">
        <v>1</v>
      </c>
      <c r="D24" s="3" t="s">
        <v>54</v>
      </c>
      <c r="E24" s="3" t="s">
        <v>55</v>
      </c>
      <c r="F24" s="3" t="s">
        <v>14</v>
      </c>
      <c r="G24" s="3" t="s">
        <v>56</v>
      </c>
      <c r="H24" s="3" t="s">
        <v>57</v>
      </c>
      <c r="I24" s="3"/>
    </row>
    <row r="25" customFormat="false" ht="41.75" hidden="false" customHeight="false" outlineLevel="0" collapsed="false">
      <c r="A25" s="3" t="s">
        <v>61</v>
      </c>
      <c r="B25" s="3" t="s">
        <v>62</v>
      </c>
      <c r="C25" s="4" t="n">
        <v>0.51</v>
      </c>
      <c r="D25" s="3" t="s">
        <v>19</v>
      </c>
      <c r="E25" s="3" t="s">
        <v>19</v>
      </c>
      <c r="F25" s="3" t="s">
        <v>14</v>
      </c>
      <c r="G25" s="3" t="s">
        <v>63</v>
      </c>
      <c r="H25" s="3" t="s">
        <v>64</v>
      </c>
      <c r="I25" s="3" t="s">
        <v>65</v>
      </c>
    </row>
    <row r="26" customFormat="false" ht="41.75" hidden="false" customHeight="false" outlineLevel="0" collapsed="false">
      <c r="A26" s="3" t="s">
        <v>66</v>
      </c>
      <c r="B26" s="3" t="s">
        <v>62</v>
      </c>
      <c r="C26" s="4" t="n">
        <v>0.51</v>
      </c>
      <c r="D26" s="3" t="s">
        <v>19</v>
      </c>
      <c r="E26" s="3" t="s">
        <v>19</v>
      </c>
      <c r="F26" s="3" t="s">
        <v>14</v>
      </c>
      <c r="G26" s="3" t="s">
        <v>67</v>
      </c>
      <c r="H26" s="3" t="s">
        <v>68</v>
      </c>
      <c r="I26" s="3" t="s">
        <v>69</v>
      </c>
    </row>
    <row r="27" customFormat="false" ht="41.75" hidden="false" customHeight="false" outlineLevel="0" collapsed="false">
      <c r="A27" s="3" t="s">
        <v>70</v>
      </c>
      <c r="B27" s="3" t="s">
        <v>62</v>
      </c>
      <c r="C27" s="4" t="n">
        <v>0.5</v>
      </c>
      <c r="D27" s="3" t="s">
        <v>19</v>
      </c>
      <c r="E27" s="3" t="s">
        <v>19</v>
      </c>
      <c r="F27" s="3" t="s">
        <v>14</v>
      </c>
      <c r="G27" s="3" t="s">
        <v>71</v>
      </c>
      <c r="H27" s="3" t="s">
        <v>72</v>
      </c>
      <c r="I27" s="3"/>
    </row>
    <row r="28" customFormat="false" ht="41.75" hidden="false" customHeight="false" outlineLevel="0" collapsed="false">
      <c r="A28" s="3" t="s">
        <v>73</v>
      </c>
      <c r="B28" s="3" t="s">
        <v>62</v>
      </c>
      <c r="C28" s="4" t="n">
        <v>0.5</v>
      </c>
      <c r="D28" s="3" t="s">
        <v>19</v>
      </c>
      <c r="E28" s="3" t="s">
        <v>19</v>
      </c>
      <c r="F28" s="3" t="s">
        <v>14</v>
      </c>
      <c r="G28" s="3" t="s">
        <v>74</v>
      </c>
      <c r="H28" s="3" t="s">
        <v>75</v>
      </c>
      <c r="I28" s="3"/>
    </row>
    <row r="29" customFormat="false" ht="41.75" hidden="false" customHeight="false" outlineLevel="0" collapsed="false">
      <c r="A29" s="3" t="s">
        <v>76</v>
      </c>
      <c r="B29" s="3" t="s">
        <v>62</v>
      </c>
      <c r="C29" s="4" t="n">
        <v>0.5</v>
      </c>
      <c r="D29" s="3" t="s">
        <v>19</v>
      </c>
      <c r="E29" s="3" t="s">
        <v>19</v>
      </c>
      <c r="F29" s="3" t="s">
        <v>14</v>
      </c>
      <c r="G29" s="3" t="s">
        <v>77</v>
      </c>
      <c r="H29" s="3" t="s">
        <v>78</v>
      </c>
      <c r="I29" s="3"/>
    </row>
    <row r="30" customFormat="false" ht="28.35" hidden="false" customHeight="false" outlineLevel="0" collapsed="false">
      <c r="A30" s="3" t="s">
        <v>79</v>
      </c>
      <c r="B30" s="3" t="s">
        <v>80</v>
      </c>
      <c r="C30" s="3" t="s">
        <v>12</v>
      </c>
      <c r="D30" s="3" t="s">
        <v>12</v>
      </c>
      <c r="E30" s="3" t="s">
        <v>12</v>
      </c>
      <c r="F30" s="3" t="s">
        <v>12</v>
      </c>
      <c r="G30" s="3" t="s">
        <v>81</v>
      </c>
      <c r="H30" s="3" t="s">
        <v>82</v>
      </c>
      <c r="I30" s="3"/>
    </row>
    <row r="31" customFormat="false" ht="15" hidden="false" customHeight="false" outlineLevel="0" collapsed="false">
      <c r="A31" s="3" t="s">
        <v>83</v>
      </c>
      <c r="B31" s="3" t="s">
        <v>80</v>
      </c>
      <c r="C31" s="3" t="s">
        <v>12</v>
      </c>
      <c r="D31" s="3" t="s">
        <v>12</v>
      </c>
      <c r="E31" s="3" t="s">
        <v>12</v>
      </c>
      <c r="F31" s="3" t="s">
        <v>12</v>
      </c>
      <c r="G31" s="3" t="s">
        <v>84</v>
      </c>
      <c r="H31" s="3" t="s">
        <v>85</v>
      </c>
      <c r="I3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ns0:worksheet xmlns:ns0="http://schemas.openxmlformats.org/spreadsheetml/2006/main">
  <ns0:sheetPr filterMode="false">
    <ns0:pageSetUpPr fitToPage="false"/>
  </ns0:sheetPr>
  <ns0:dimension ref="A1:Q28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zeroHeight="false" outlineLevelRow="0" outlineLevelCol="0"/>
  <ns0:cols>
    <ns0:col collapsed="false" customWidth="true" hidden="false" outlineLevel="0" max="2" min="1" style="0" width="20"/>
    <ns0:col collapsed="false" customWidth="true" hidden="false" outlineLevel="0" max="3" min="3" style="0" width="7"/>
    <ns0:col collapsed="false" customWidth="true" hidden="false" outlineLevel="0" max="4" min="4" style="0" width="22"/>
    <ns0:col collapsed="false" customWidth="true" hidden="false" outlineLevel="0" max="5" min="5" style="0" width="18"/>
    <ns0:col collapsed="false" customWidth="true" hidden="false" outlineLevel="0" max="6" min="6" style="0" width="14"/>
    <ns0:col collapsed="false" customWidth="true" hidden="false" outlineLevel="0" max="7" min="7" style="0" width="12"/>
    <ns0:col collapsed="false" customWidth="true" hidden="false" outlineLevel="0" max="8" min="8" style="0" width="7"/>
    <ns0:col collapsed="false" customWidth="true" hidden="false" outlineLevel="0" max="10" min="9" style="0" width="12"/>
    <ns0:col collapsed="false" customWidth="true" hidden="false" outlineLevel="0" max="11" min="11" style="0" width="9"/>
    <ns0:col collapsed="false" customWidth="true" hidden="false" outlineLevel="0" max="13" min="12" style="0" width="13"/>
    <ns0:col collapsed="false" customWidth="true" hidden="false" outlineLevel="0" max="14" min="14" style="0" width="11"/>
    <ns0:col collapsed="false" customWidth="true" hidden="false" outlineLevel="0" max="15" min="15" style="0" width="13"/>
    <ns0:col collapsed="false" customWidth="true" hidden="false" outlineLevel="0" max="16" min="16" style="0" width="14"/>
    <ns0:col collapsed="false" customWidth="true" hidden="false" outlineLevel="0" max="17" min="17" style="0" width="60"/>
  </ns0:cols>
  <ns0:sheetData>
    <ns0:row r="1" customFormat="false" ht="15" hidden="false" customHeight="false" outlineLevel="0" collapsed="false">
      <ns0:c r="A1" s="1" t="s">
        <ns0:v>86</ns0:v>
      </ns0:c>
    </ns0:row>
    <ns0:row r="2" customFormat="false" ht="15" hidden="false" customHeight="false" outlineLevel="0" collapsed="false">
      <ns0:c r="A2" s="0" t="s">
        <ns0:v>87</ns0:v>
      </ns0:c>
    </ns0:row>
    <ns0:row r="3" customFormat="false" ht="15" hidden="false" customHeight="false" outlineLevel="0" collapsed="false">
      <ns0:c r="A3" s="2" t="s">
        <ns0:v>88</ns0:v>
      </ns0:c>
      <ns0:c r="B3" s="2" t="s">
        <ns0:v>89</ns0:v>
      </ns0:c>
      <ns0:c r="C3" s="2" t="s">
        <ns0:v>90</ns0:v>
      </ns0:c>
      <ns0:c r="D3" s="2" t="s">
        <ns0:v>91</ns0:v>
      </ns0:c>
      <ns0:c r="E3" s="2" t="s">
        <ns0:v>92</ns0:v>
      </ns0:c>
      <ns0:c r="F3" s="2" t="s">
        <ns0:v>93</ns0:v>
      </ns0:c>
      <ns0:c r="G3" s="2" t="s">
        <ns0:v>94</ns0:v>
      </ns0:c>
      <ns0:c r="H3" s="2" t="s">
        <ns0:v>95</ns0:v>
      </ns0:c>
      <ns0:c r="I3" s="2" t="s">
        <ns0:v>96</ns0:v>
      </ns0:c>
      <ns0:c r="J3" s="2" t="s">
        <ns0:v>97</ns0:v>
      </ns0:c>
      <ns0:c r="K3" s="2" t="s">
        <ns0:v>98</ns0:v>
      </ns0:c>
      <ns0:c r="L3" s="2" t="s">
        <ns0:v>99</ns0:v>
      </ns0:c>
      <ns0:c r="M3" s="2" t="s">
        <ns0:v>100</ns0:v>
      </ns0:c>
      <ns0:c r="N3" s="2" t="s">
        <ns0:v>101</ns0:v>
      </ns0:c>
      <ns0:c r="O3" s="2" t="s">
        <ns0:v>102</ns0:v>
      </ns0:c>
      <ns0:c r="P3" s="2" t="s">
        <ns0:v>103</ns0:v>
      </ns0:c>
      <ns0:c r="Q3" s="2" t="s">
        <ns0:v>104</ns0:v>
      </ns0:c>
    </ns0:row>
    <ns0:row r="4" customFormat="false" ht="15" hidden="false" customHeight="false" outlineLevel="0" collapsed="false">
      <ns0:c r="A4" s="0" t="s">
        <ns0:v>16</ns0:v>
      </ns0:c>
      <ns0:c r="B4" s="0" t="s">
        <ns0:v>17</ns0:v>
      </ns0:c>
      <ns0:c r="C4" s="0" t="s">
        <ns0:v>105</ns0:v>
      </ns0:c>
      <ns0:c r="D4" s="0" t="s">
        <ns0:v>106</ns0:v>
      </ns0:c>
      <ns0:c r="E4" s="0" t="s">
        <ns0:v>107</ns0:v>
      </ns0:c>
      <ns0:c r="F4" s="0" t="s">
        <ns0:v>108</ns0:v>
      </ns0:c>
      <ns0:c r="G4" s="5" t="n">
        <ns0:v>509292</ns0:v>
      </ns0:c>
      <ns0:c r="H4" s="0" t="n">
        <ns0:v>5</ns0:v>
      </ns0:c>
      <ns0:c r="I4" s="5" t="n">
        <ns0:v>67237</ns0:v>
      </ns0:c>
      <ns0:c r="J4" s="5" t="n">
        <ns0:v>55783</ns0:v>
      </ns0:c>
      <ns0:c r="K4" s="6" t="n">
        <ns0:v>1</ns0:v>
      </ns0:c>
      <ns0:c r="L4" s="5" t="n">
        <ns0:v>55783</ns0:v>
      </ns0:c>
      <ns0:c r="M4" s="5">
        <ns0:f aca="false">ROUND(J4*K4-L4,0)</ns0:f>
        <ns0:v>0</ns0:v>
      </ns0:c>
      <ns0:c r="N4" s="6">
        <ns0:f aca="false">G4/47201372</ns0:f>
        <ns0:v>0.0107897711108906</ns0:v>
      </ns0:c>
      <ns0:c r="O4" s="5" t="n">
        <ns0:v>455479</ns0:v>
      </ns0:c>
      <ns0:c r="P4" s="5" t="n">
        <ns0:v>502167</ns0:v>
      </ns0:c>
      <ns0:c r="Q4" s="7" t="s">
        <ns0:v>109</ns0:v>
      </ns0:c>
    </ns0:row>
    <ns0:row r="5" customFormat="false" ht="15" hidden="false" customHeight="false" outlineLevel="0" collapsed="false">
      <ns0:c r="A5" s="0" t="s">
        <ns0:v>22</ns0:v>
      </ns0:c>
      <ns0:c r="B5" s="0" t="s">
        <ns0:v>17</ns0:v>
      </ns0:c>
      <ns0:c r="C5" s="0" t="s">
        <ns0:v>110</ns0:v>
      </ns0:c>
      <ns0:c r="D5" s="0" t="s">
        <ns0:v>106</ns0:v>
      </ns0:c>
      <ns0:c r="E5" s="0" t="s">
        <ns0:v>107</ns0:v>
      </ns0:c>
      <ns0:c r="F5" s="0" t="s">
        <ns0:v>108</ns0:v>
      </ns0:c>
      <ns0:c r="G5" s="5" t="n">
        <ns0:v>668876</ns0:v>
      </ns0:c>
      <ns0:c r="H5" s="0" t="n">
        <ns0:v>5</ns0:v>
      </ns0:c>
      <ns0:c r="I5" s="5" t="n">
        <ns0:v>99341</ns0:v>
      </ns0:c>
      <ns0:c r="J5" s="5" t="n">
        <ns0:v>53422</ns0:v>
      </ns0:c>
      <ns0:c r="K5" s="6" t="n">
        <ns0:v>1</ns0:v>
      </ns0:c>
      <ns0:c r="L5" s="5" t="n">
        <ns0:v>53422</ns0:v>
      </ns0:c>
      <ns0:c r="M5" s="5">
        <ns0:f aca="false">ROUND(J5*K5-L5,0)</ns0:f>
        <ns0:v>0</ns0:v>
      </ns0:c>
      <ns0:c r="N5" s="6">
        <ns0:f aca="false">G5/47201372</ns0:f>
        <ns0:v>0.0141706897841868</ns0:v>
      </ns0:c>
      <ns0:c r="O5" s="5" t="n">
        <ns0:v>582077</ns0:v>
      </ns0:c>
      <ns0:c r="P5" s="5" t="n">
        <ns0:v>659147</ns0:v>
      </ns0:c>
      <ns0:c r="Q5" s="7" t="s">
        <ns0:v>109</ns0:v>
      </ns0:c>
    </ns0:row>
    <ns0:row r="6" customFormat="false" ht="15" hidden="false" customHeight="false" outlineLevel="0" collapsed="false">
      <ns0:c r="A6" s="0" t="s">
        <ns0:v>24</ns0:v>
      </ns0:c>
      <ns0:c r="B6" s="0" t="s">
        <ns0:v>17</ns0:v>
      </ns0:c>
      <ns0:c r="C6" s="0" t="s">
        <ns0:v>111</ns0:v>
      </ns0:c>
      <ns0:c r="D6" s="0" t="s">
        <ns0:v>106</ns0:v>
      </ns0:c>
      <ns0:c r="E6" s="0" t="s">
        <ns0:v>107</ns0:v>
      </ns0:c>
      <ns0:c r="F6" s="0" t="s">
        <ns0:v>108</ns0:v>
      </ns0:c>
      <ns0:c r="G6" s="5" t="n">
        <ns0:v>585143</ns0:v>
      </ns0:c>
      <ns0:c r="H6" s="0" t="n">
        <ns0:v>5</ns0:v>
      </ns0:c>
      <ns0:c r="I6" s="5" t="n">
        <ns0:v>67719</ns0:v>
      </ns0:c>
      <ns0:c r="J6" s="5" t="n">
        <ns0:v>44933</ns0:v>
      </ns0:c>
      <ns0:c r="K6" s="6" t="n">
        <ns0:v>1</ns0:v>
      </ns0:c>
      <ns0:c r="L6" s="5" t="n">
        <ns0:v>44932</ns0:v>
      </ns0:c>
      <ns0:c r="M6" s="5">
        <ns0:f aca="false">ROUND(J6*K6-L6,0)</ns0:f>
        <ns0:v>1</ns0:v>
      </ns0:c>
      <ns0:c r="N6" s="6">
        <ns0:f aca="false">G6/47201372</ns0:f>
        <ns0:v>0.0123967371117941</ns0:v>
      </ns0:c>
      <ns0:c r="O6" s="5" t="n">
        <ns0:v>453448</ns0:v>
      </ns0:c>
      <ns0:c r="P6" s="5" t="n">
        <ns0:v>550466</ns0:v>
      </ns0:c>
      <ns0:c r="Q6" s="7" t="s">
        <ns0:v>109</ns0:v>
      </ns0:c>
    </ns0:row>
    <ns0:row r="7" customFormat="false" ht="15" hidden="false" customHeight="false" outlineLevel="0" collapsed="false">
      <ns0:c r="A7" s="0" t="s">
        <ns0:v>26</ns0:v>
      </ns0:c>
      <ns0:c r="B7" s="0" t="s">
        <ns0:v>17</ns0:v>
      </ns0:c>
      <ns0:c r="C7" s="0" t="s">
        <ns0:v>112</ns0:v>
      </ns0:c>
      <ns0:c r="D7" s="0" t="s">
        <ns0:v>106</ns0:v>
      </ns0:c>
      <ns0:c r="E7" s="0" t="s">
        <ns0:v>107</ns0:v>
      </ns0:c>
      <ns0:c r="F7" s="0" t="s">
        <ns0:v>108</ns0:v>
      </ns0:c>
      <ns0:c r="G7" s="5" t="n">
        <ns0:v>80193</ns0:v>
      </ns0:c>
      <ns0:c r="H7" s="0" t="n">
        <ns0:v>5</ns0:v>
      </ns0:c>
      <ns0:c r="I7" s="5" t="n">
        <ns0:v>9653</ns0:v>
      </ns0:c>
      <ns0:c r="J7" s="5" t="n">
        <ns0:v>6908</ns0:v>
      </ns0:c>
      <ns0:c r="K7" s="6" t="n">
        <ns0:v>1</ns0:v>
      </ns0:c>
      <ns0:c r="L7" s="5" t="n">
        <ns0:v>6908</ns0:v>
      </ns0:c>
      <ns0:c r="M7" s="5">
        <ns0:f aca="false">ROUND(J7*K7-L7,0)</ns0:f>
        <ns0:v>0</ns0:v>
      </ns0:c>
      <ns0:c r="N7" s="6">
        <ns0:f aca="false">G7/47201372</ns0:f>
        <ns0:v>0.00169895485241404</ns0:v>
      </ns0:c>
      <ns0:c r="O7" s="5" t="n">
        <ns0:v>70321</ns0:v>
      </ns0:c>
      <ns0:c r="P7" s="5" t="n">
        <ns0:v>67329</ns0:v>
      </ns0:c>
      <ns0:c r="Q7" s="7" t="s">
        <ns0:v>109</ns0:v>
      </ns0:c>
    </ns0:row>
    <ns0:row r="8" customFormat="false" ht="15" hidden="false" customHeight="false" outlineLevel="0" collapsed="false">
      <ns0:c r="A8" s="0" t="s">
        <ns0:v>28</ns0:v>
      </ns0:c>
      <ns0:c r="B8" s="0" t="s">
        <ns0:v>17</ns0:v>
      </ns0:c>
      <ns0:c r="C8" s="0" t="s">
        <ns0:v>113</ns0:v>
      </ns0:c>
      <ns0:c r="D8" s="0" t="s">
        <ns0:v>106</ns0:v>
      </ns0:c>
      <ns0:c r="E8" s="0" t="s">
        <ns0:v>107</ns0:v>
      </ns0:c>
      <ns0:c r="F8" s="0" t="s">
        <ns0:v>108</ns0:v>
      </ns0:c>
      <ns0:c r="G8" s="5" t="n">
        <ns0:v>706683</ns0:v>
      </ns0:c>
      <ns0:c r="H8" s="0" t="n">
        <ns0:v>5</ns0:v>
      </ns0:c>
      <ns0:c r="I8" s="5" t="n">
        <ns0:v>70842</ns0:v>
      </ns0:c>
      <ns0:c r="J8" s="5" t="n">
        <ns0:v>50861</ns0:v>
      </ns0:c>
      <ns0:c r="K8" s="6" t="n">
        <ns0:v>1</ns0:v>
      </ns0:c>
      <ns0:c r="L8" s="5" t="n">
        <ns0:v>50861</ns0:v>
      </ns0:c>
      <ns0:c r="M8" s="5">
        <ns0:f aca="false">ROUND(J8*K8-L8,0)</ns0:f>
        <ns0:v>0</ns0:v>
      </ns0:c>
      <ns0:c r="N8" s="6">
        <ns0:f aca="false">G8/47201372</ns0:f>
        <ns0:v>0.0149716622643935</ns0:v>
      </ns0:c>
      <ns0:c r="O8" s="5" t="n">
        <ns0:v>629464</ns0:v>
      </ns0:c>
      <ns0:c r="P8" s="5" t="n">
        <ns0:v>629579</ns0:v>
      </ns0:c>
      <ns0:c r="Q8" s="7" t="s">
        <ns0:v>109</ns0:v>
      </ns0:c>
    </ns0:row>
    <ns0:row r="9" customFormat="false" ht="15" hidden="false" customHeight="false" outlineLevel="0" collapsed="false">
      <ns0:c r="A9" s="0" t="s">
        <ns0:v>30</ns0:v>
      </ns0:c>
      <ns0:c r="B9" s="0" t="s">
        <ns0:v>17</ns0:v>
      </ns0:c>
      <ns0:c r="C9" s="0" t="s">
        <ns0:v>114</ns0:v>
      </ns0:c>
      <ns0:c r="D9" s="0" t="s">
        <ns0:v>106</ns0:v>
      </ns0:c>
      <ns0:c r="E9" s="0" t="s">
        <ns0:v>107</ns0:v>
      </ns0:c>
      <ns0:c r="F9" s="0" t="s">
        <ns0:v>108</ns0:v>
      </ns0:c>
      <ns0:c r="G9" s="5" t="n">
        <ns0:v>690024</ns0:v>
      </ns0:c>
      <ns0:c r="H9" s="0" t="n">
        <ns0:v>5</ns0:v>
      </ns0:c>
      <ns0:c r="I9" s="5" t="n">
        <ns0:v>84693</ns0:v>
      </ns0:c>
      <ns0:c r="J9" s="5" t="n">
        <ns0:v>75705</ns0:v>
      </ns0:c>
      <ns0:c r="K9" s="6" t="n">
        <ns0:v>1</ns0:v>
      </ns0:c>
      <ns0:c r="L9" s="5" t="n">
        <ns0:v>75705</ns0:v>
      </ns0:c>
      <ns0:c r="M9" s="5">
        <ns0:f aca="false">ROUND(J9*K9-L9,0)</ns0:f>
        <ns0:v>0</ns0:v>
      </ns0:c>
      <ns0:c r="N9" s="6">
        <ns0:f aca="false">G9/47201372</ns0:f>
        <ns0:v>0.0146187276081721</ns0:v>
      </ns0:c>
      <ns0:c r="O9" s="5" t="n">
        <ns0:v>591221</ns0:v>
      </ns0:c>
      <ns0:c r="P9" s="5" t="n">
        <ns0:v>659875</ns0:v>
      </ns0:c>
      <ns0:c r="Q9" s="7" t="s">
        <ns0:v>109</ns0:v>
      </ns0:c>
    </ns0:row>
    <ns0:row r="10" customFormat="false" ht="15" hidden="false" customHeight="false" outlineLevel="0" collapsed="false">
      <ns0:c r="A10" s="0" t="s">
        <ns0:v>32</ns0:v>
      </ns0:c>
      <ns0:c r="B10" s="0" t="s">
        <ns0:v>17</ns0:v>
      </ns0:c>
      <ns0:c r="C10" s="0" t="s">
        <ns0:v>115</ns0:v>
      </ns0:c>
      <ns0:c r="D10" s="0" t="s">
        <ns0:v>106</ns0:v>
      </ns0:c>
      <ns0:c r="E10" s="0" t="s">
        <ns0:v>107</ns0:v>
      </ns0:c>
      <ns0:c r="F10" s="0" t="s">
        <ns0:v>108</ns0:v>
      </ns0:c>
      <ns0:c r="G10" s="5" t="n">
        <ns0:v>409544</ns0:v>
      </ns0:c>
      <ns0:c r="H10" s="0" t="n">
        <ns0:v>5</ns0:v>
      </ns0:c>
      <ns0:c r="I10" s="5" t="n">
        <ns0:v>103502</ns0:v>
      </ns0:c>
      <ns0:c r="J10" s="5" t="n">
        <ns0:v>43537</ns0:v>
      </ns0:c>
      <ns0:c r="K10" s="6" t="n">
        <ns0:v>1</ns0:v>
      </ns0:c>
      <ns0:c r="L10" s="5" t="n">
        <ns0:v>43538</ns0:v>
      </ns0:c>
      <ns0:c r="M10" s="5">
        <ns0:f aca="false">ROUND(J10*K10-L10,0)</ns0:f>
        <ns0:v>-1</ns0:v>
      </ns0:c>
      <ns0:c r="N10" s="6">
        <ns0:f aca="false">G10/47201372</ns0:f>
        <ns0:v>0.00867652745348165</ns0:v>
      </ns0:c>
      <ns0:c r="O10" s="5" t="n">
        <ns0:v>367497</ns0:v>
      </ns0:c>
      <ns0:c r="P10" s="5" t="n">
        <ns0:v>400587</ns0:v>
      </ns0:c>
      <ns0:c r="Q10" s="7" t="s">
        <ns0:v>109</ns0:v>
      </ns0:c>
    </ns0:row>
    <ns0:row r="11" customFormat="false" ht="15" hidden="false" customHeight="false" outlineLevel="0" collapsed="false">
      <ns0:c r="A11" s="0" t="s">
        <ns0:v>34</ns0:v>
      </ns0:c>
      <ns0:c r="B11" s="0" t="s">
        <ns0:v>17</ns0:v>
      </ns0:c>
      <ns0:c r="C11" s="0" t="s">
        <ns0:v>116</ns0:v>
      </ns0:c>
      <ns0:c r="D11" s="0" t="s">
        <ns0:v>106</ns0:v>
      </ns0:c>
      <ns0:c r="E11" s="0" t="s">
        <ns0:v>107</ns0:v>
      </ns0:c>
      <ns0:c r="F11" s="0" t="s">
        <ns0:v>108</ns0:v>
      </ns0:c>
      <ns0:c r="G11" s="5" t="n">
        <ns0:v>695376</ns0:v>
      </ns0:c>
      <ns0:c r="H11" s="0" t="n">
        <ns0:v>5</ns0:v>
      </ns0:c>
      <ns0:c r="I11" s="5" t="n">
        <ns0:v>81685</ns0:v>
      </ns0:c>
      <ns0:c r="J11" s="5" t="n">
        <ns0:v>74853</ns0:v>
      </ns0:c>
      <ns0:c r="K11" s="6" t="n">
        <ns0:v>1</ns0:v>
      </ns0:c>
      <ns0:c r="L11" s="5" t="n">
        <ns0:v>74853</ns0:v>
      </ns0:c>
      <ns0:c r="M11" s="5">
        <ns0:f aca="false">ROUND(J11*K11-L11,0)</ns0:f>
        <ns0:v>0</ns0:v>
      </ns0:c>
      <ns0:c r="N11" s="6">
        <ns0:f aca="false">G11/47201372</ns0:f>
        <ns0:v>0.0147321141427838</ns0:v>
      </ns0:c>
      <ns0:c r="O11" s="5" t="n">
        <ns0:v>629364</ns0:v>
      </ns0:c>
      <ns0:c r="P11" s="5" t="n">
        <ns0:v>683902</ns0:v>
      </ns0:c>
      <ns0:c r="Q11" s="7" t="s">
        <ns0:v>109</ns0:v>
      </ns0:c>
    </ns0:row>
    <ns0:row r="12" customFormat="false" ht="15" hidden="false" customHeight="false" outlineLevel="0" collapsed="false">
      <ns0:c r="A12" s="0" t="s">
        <ns0:v>36</ns0:v>
      </ns0:c>
      <ns0:c r="B12" s="0" t="s">
        <ns0:v>17</ns0:v>
      </ns0:c>
      <ns0:c r="C12" s="0" t="s">
        <ns0:v>117</ns0:v>
      </ns0:c>
      <ns0:c r="D12" s="0" t="s">
        <ns0:v>106</ns0:v>
      </ns0:c>
      <ns0:c r="E12" s="0" t="s">
        <ns0:v>107</ns0:v>
      </ns0:c>
      <ns0:c r="F12" s="0" t="s">
        <ns0:v>108</ns0:v>
      </ns0:c>
      <ns0:c r="G12" s="5" t="n">
        <ns0:v>228813</ns0:v>
      </ns0:c>
      <ns0:c r="H12" s="0" t="n">
        <ns0:v>5</ns0:v>
      </ns0:c>
      <ns0:c r="I12" s="5" t="n">
        <ns0:v>29783</ns0:v>
      </ns0:c>
      <ns0:c r="J12" s="5" t="n">
        <ns0:v>26368</ns0:v>
      </ns0:c>
      <ns0:c r="K12" s="6" t="n">
        <ns0:v>1</ns0:v>
      </ns0:c>
      <ns0:c r="L12" s="5" t="n">
        <ns0:v>26368</ns0:v>
      </ns0:c>
      <ns0:c r="M12" s="5">
        <ns0:f aca="false">ROUND(J12*K12-L12,0)</ns0:f>
        <ns0:v>0</ns0:v>
      </ns0:c>
      <ns0:c r="N12" s="6">
        <ns0:f aca="false">G12/47201372</ns0:f>
        <ns0:v>0.00484759214202502</ns0:v>
      </ns0:c>
      <ns0:c r="O12" s="5" t="n">
        <ns0:v>205855</ns0:v>
      </ns0:c>
      <ns0:c r="P12" s="5" t="n">
        <ns0:v>223075</ns0:v>
      </ns0:c>
      <ns0:c r="Q12" s="7" t="s">
        <ns0:v>109</ns0:v>
      </ns0:c>
    </ns0:row>
    <ns0:row r="13" customFormat="false" ht="15" hidden="false" customHeight="false" outlineLevel="0" collapsed="false">
      <ns0:c r="A13" s="0" t="s">
        <ns0:v>38</ns0:v>
      </ns0:c>
      <ns0:c r="B13" s="0" t="s">
        <ns0:v>17</ns0:v>
      </ns0:c>
      <ns0:c r="C13" s="0" t="s">
        <ns0:v>118</ns0:v>
      </ns0:c>
      <ns0:c r="D13" s="0" t="s">
        <ns0:v>106</ns0:v>
      </ns0:c>
      <ns0:c r="E13" s="0" t="s">
        <ns0:v>107</ns0:v>
      </ns0:c>
      <ns0:c r="F13" s="0" t="s">
        <ns0:v>108</ns0:v>
      </ns0:c>
      <ns0:c r="G13" s="5" t="n">
        <ns0:v>855504</ns0:v>
      </ns0:c>
      <ns0:c r="H13" s="0" t="n">
        <ns0:v>5</ns0:v>
      </ns0:c>
      <ns0:c r="I13" s="5" t="n">
        <ns0:v>103165</ns0:v>
      </ns0:c>
      <ns0:c r="J13" s="5" t="n">
        <ns0:v>81140</ns0:v>
      </ns0:c>
      <ns0:c r="K13" s="6" t="n">
        <ns0:v>1</ns0:v>
      </ns0:c>
      <ns0:c r="L13" s="5" t="n">
        <ns0:v>81140</ns0:v>
      </ns0:c>
      <ns0:c r="M13" s="5">
        <ns0:f aca="false">ROUND(J13*K13-L13,0)</ns0:f>
        <ns0:v>0</ns0:v>
      </ns0:c>
      <ns0:c r="N13" s="6">
        <ns0:f aca="false">G13/47201372</ns0:f>
        <ns0:v>0.0181245579047999</ns0:v>
      </ns0:c>
      <ns0:c r="O13" s="5" t="n">
        <ns0:v>603892</ns0:v>
      </ns0:c>
      <ns0:c r="P13" s="5" t="n">
        <ns0:v>805515</ns0:v>
      </ns0:c>
      <ns0:c r="Q13" s="7" t="s">
        <ns0:v>109</ns0:v>
      </ns0:c>
    </ns0:row>
    <ns0:row r="14" customFormat="false" ht="15" hidden="false" customHeight="false" outlineLevel="0" collapsed="false">
      <ns0:c r="A14" s="0" t="s">
        <ns0:v>40</ns0:v>
      </ns0:c>
      <ns0:c r="B14" s="0" t="s">
        <ns0:v>17</ns0:v>
      </ns0:c>
      <ns0:c r="C14" s="0" t="s">
        <ns0:v>119</ns0:v>
      </ns0:c>
      <ns0:c r="D14" s="0" t="s">
        <ns0:v>106</ns0:v>
      </ns0:c>
      <ns0:c r="E14" s="0" t="s">
        <ns0:v>107</ns0:v>
      </ns0:c>
      <ns0:c r="F14" s="0" t="s">
        <ns0:v>108</ns0:v>
      </ns0:c>
      <ns0:c r="G14" s="5" t="n">
        <ns0:v>264831</ns0:v>
      </ns0:c>
      <ns0:c r="H14" s="0" t="n">
        <ns0:v>5</ns0:v>
      </ns0:c>
      <ns0:c r="I14" s="5" t="n">
        <ns0:v>29933</ns0:v>
      </ns0:c>
      <ns0:c r="J14" s="5" t="n">
        <ns0:v>8431</ns0:v>
      </ns0:c>
      <ns0:c r="K14" s="6" t="n">
        <ns0:v>1</ns0:v>
      </ns0:c>
      <ns0:c r="L14" s="5" t="n">
        <ns0:v>8431</ns0:v>
      </ns0:c>
      <ns0:c r="M14" s="5">
        <ns0:f aca="false">ROUND(J14*K14-L14,0)</ns0:f>
        <ns0:v>0</ns0:v>
      </ns0:c>
      <ns0:c r="N14" s="6">
        <ns0:f aca="false">G14/47201372</ns0:f>
        <ns0:v>0.00561066318157023</ns0:v>
      </ns0:c>
      <ns0:c r="O14" s="5" t="n">
        <ns0:v>189305</ns0:v>
      </ns0:c>
      <ns0:c r="P14" s="5" t="n">
        <ns0:v>253572</ns0:v>
      </ns0:c>
      <ns0:c r="Q14" s="7" t="s">
        <ns0:v>109</ns0:v>
      </ns0:c>
    </ns0:row>
    <ns0:row r="15" customFormat="false" ht="15" hidden="false" customHeight="false" outlineLevel="0" collapsed="false">
      <ns0:c r="A15" s="0" t="s">
        <ns0:v>42</ns0:v>
      </ns0:c>
      <ns0:c r="B15" s="0" t="s">
        <ns0:v>17</ns0:v>
      </ns0:c>
      <ns0:c r="C15" s="0" t="s">
        <ns0:v>120</ns0:v>
      </ns0:c>
      <ns0:c r="D15" s="0" t="s">
        <ns0:v>106</ns0:v>
      </ns0:c>
      <ns0:c r="E15" s="0" t="s">
        <ns0:v>107</ns0:v>
      </ns0:c>
      <ns0:c r="F15" s="0" t="s">
        <ns0:v>108</ns0:v>
      </ns0:c>
      <ns0:c r="G15" s="5" t="n">
        <ns0:v>572807</ns0:v>
      </ns0:c>
      <ns0:c r="H15" s="0" t="n">
        <ns0:v>5</ns0:v>
      </ns0:c>
      <ns0:c r="I15" s="5" t="n">
        <ns0:v>69511</ns0:v>
      </ns0:c>
      <ns0:c r="J15" s="5" t="n">
        <ns0:v>56779</ns0:v>
      </ns0:c>
      <ns0:c r="K15" s="6" t="n">
        <ns0:v>1</ns0:v>
      </ns0:c>
      <ns0:c r="L15" s="5" t="n">
        <ns0:v>56779</ns0:v>
      </ns0:c>
      <ns0:c r="M15" s="5">
        <ns0:f aca="false">ROUND(J15*K15-L15,0)</ns0:f>
        <ns0:v>0</ns0:v>
      </ns0:c>
      <ns0:c r="N15" s="6">
        <ns0:f aca="false">G15/47201372</ns0:f>
        <ns0:v>0.012135388776411</ns0:v>
      </ns0:c>
      <ns0:c r="O15" s="5" t="n">
        <ns0:v>496467</ns0:v>
      </ns0:c>
      <ns0:c r="P15" s="5" t="n">
        <ns0:v>554346</ns0:v>
      </ns0:c>
      <ns0:c r="Q15" s="7" t="s">
        <ns0:v>109</ns0:v>
      </ns0:c>
    </ns0:row>
    <ns0:row r="16" customFormat="false" ht="15" hidden="false" customHeight="false" outlineLevel="0" collapsed="false">
      <ns0:c r="A16" s="0" t="s">
        <ns0:v>44</ns0:v>
      </ns0:c>
      <ns0:c r="B16" s="0" t="s">
        <ns0:v>17</ns0:v>
      </ns0:c>
      <ns0:c r="C16" s="0" t="s">
        <ns0:v>121</ns0:v>
      </ns0:c>
      <ns0:c r="D16" s="0" t="s">
        <ns0:v>106</ns0:v>
      </ns0:c>
      <ns0:c r="E16" s="0" t="s">
        <ns0:v>107</ns0:v>
      </ns0:c>
      <ns0:c r="F16" s="0" t="s">
        <ns0:v>108</ns0:v>
      </ns0:c>
      <ns0:c r="G16" s="5" t="n">
        <ns0:v>1051155</ns0:v>
      </ns0:c>
      <ns0:c r="H16" s="0" t="n">
        <ns0:v>5</ns0:v>
      </ns0:c>
      <ns0:c r="I16" s="5" t="n">
        <ns0:v>450823</ns0:v>
      </ns0:c>
      <ns0:c r="J16" s="5" t="n">
        <ns0:v>99084</ns0:v>
      </ns0:c>
      <ns0:c r="K16" s="6" t="n">
        <ns0:v>1</ns0:v>
      </ns0:c>
      <ns0:c r="L16" s="5" t="n">
        <ns0:v>99085</ns0:v>
      </ns0:c>
      <ns0:c r="M16" s="5">
        <ns0:f aca="false">ROUND(J16*K16-L16,0)</ns0:f>
        <ns0:v>-1</ns0:v>
      </ns0:c>
      <ns0:c r="N16" s="6">
        <ns0:f aca="false">G16/47201372</ns0:f>
        <ns0:v>0.0222695857230591</ns0:v>
      </ns0:c>
      <ns0:c r="O16" s="5" t="n">
        <ns0:v>978527</ns0:v>
      </ns0:c>
      <ns0:c r="P16" s="5" t="n">
        <ns0:v>1045091</ns0:v>
      </ns0:c>
      <ns0:c r="Q16" s="7" t="s">
        <ns0:v>122</ns0:v>
      </ns0:c>
    </ns0:row>
    <ns0:row r="17" customFormat="false" ht="15" hidden="false" customHeight="false" outlineLevel="0" collapsed="false">
      <ns0:c r="A17" s="0" t="s">
        <ns0:v>46</ns0:v>
      </ns0:c>
      <ns0:c r="B17" s="0" t="s">
        <ns0:v>17</ns0:v>
      </ns0:c>
      <ns0:c r="C17" s="0" t="s">
        <ns0:v>123</ns0:v>
      </ns0:c>
      <ns0:c r="D17" s="0" t="s">
        <ns0:v>106</ns0:v>
      </ns0:c>
      <ns0:c r="E17" s="0" t="s">
        <ns0:v>107</ns0:v>
      </ns0:c>
      <ns0:c r="F17" s="0" t="s">
        <ns0:v>108</ns0:v>
      </ns0:c>
      <ns0:c r="G17" s="5" t="n">
        <ns0:v>232911</ns0:v>
      </ns0:c>
      <ns0:c r="H17" s="0" t="n">
        <ns0:v>5</ns0:v>
      </ns0:c>
      <ns0:c r="I17" s="5" t="n">
        <ns0:v>22059</ns0:v>
      </ns0:c>
      <ns0:c r="J17" s="5" t="n">
        <ns0:v>18963</ns0:v>
      </ns0:c>
      <ns0:c r="K17" s="6" t="n">
        <ns0:v>1</ns0:v>
      </ns0:c>
      <ns0:c r="L17" s="5" t="n">
        <ns0:v>18962</ns0:v>
      </ns0:c>
      <ns0:c r="M17" s="5">
        <ns0:f aca="false">ROUND(J17*K17-L17,0)</ns0:f>
        <ns0:v>1</ns0:v>
      </ns0:c>
      <ns0:c r="N17" s="6">
        <ns0:f aca="false">G17/47201372</ns0:f>
        <ns0:v>0.00493441165227146</ns0:v>
      </ns0:c>
      <ns0:c r="O17" s="5" t="n">
        <ns0:v>210279</ns0:v>
      </ns0:c>
      <ns0:c r="P17" s="5" t="n">
        <ns0:v>227568</ns0:v>
      </ns0:c>
      <ns0:c r="Q17" s="7" t="s">
        <ns0:v>109</ns0:v>
      </ns0:c>
    </ns0:row>
    <ns0:row r="18" customFormat="false" ht="15" hidden="false" customHeight="false" outlineLevel="0" collapsed="false">
      <ns0:c r="A18" s="0" t="s">
        <ns0:v>48</ns0:v>
      </ns0:c>
      <ns0:c r="B18" s="0" t="s">
        <ns0:v>17</ns0:v>
      </ns0:c>
      <ns0:c r="C18" s="0" t="s">
        <ns0:v>124</ns0:v>
      </ns0:c>
      <ns0:c r="D18" s="0" t="s">
        <ns0:v>106</ns0:v>
      </ns0:c>
      <ns0:c r="E18" s="0" t="s">
        <ns0:v>107</ns0:v>
      </ns0:c>
      <ns0:c r="F18" s="0" t="s">
        <ns0:v>108</ns0:v>
      </ns0:c>
      <ns0:c r="G18" s="5" t="n">
        <ns0:v>303055</ns0:v>
      </ns0:c>
      <ns0:c r="H18" s="0" t="n">
        <ns0:v>5</ns0:v>
      </ns0:c>
      <ns0:c r="I18" s="5" t="n">
        <ns0:v>151854</ns0:v>
      </ns0:c>
      <ns0:c r="J18" s="5" t="n">
        <ns0:v>10377</ns0:v>
      </ns0:c>
      <ns0:c r="K18" s="6" t="n">
        <ns0:v>1</ns0:v>
      </ns0:c>
      <ns0:c r="L18" s="5" t="n">
        <ns0:v>10377</ns0:v>
      </ns0:c>
      <ns0:c r="M18" s="5">
        <ns0:f aca="false">ROUND(J18*K18-L18,0)</ns0:f>
        <ns0:v>0</ns0:v>
      </ns0:c>
      <ns0:c r="N18" s="6">
        <ns0:f aca="false">G18/47201372</ns0:f>
        <ns0:v>0.00642047015074053</ns0:v>
      </ns0:c>
      <ns0:c r="O18" s="5" t="n">
        <ns0:v>260751</ns0:v>
      </ns0:c>
      <ns0:c r="P18" s="5" t="n">
        <ns0:v>299738</ns0:v>
      </ns0:c>
      <ns0:c r="Q18" s="7" t="s">
        <ns0:v>122</ns0:v>
      </ns0:c>
    </ns0:row>
    <ns0:row r="19" customFormat="false" ht="15" hidden="false" customHeight="false" outlineLevel="0" collapsed="false">
      <ns0:c r="A19" s="0" t="s">
        <ns0:v>50</ns0:v>
      </ns0:c>
      <ns0:c r="B19" s="0" t="s">
        <ns0:v>17</ns0:v>
      </ns0:c>
      <ns0:c r="C19" s="0" t="s">
        <ns0:v>125</ns0:v>
      </ns0:c>
      <ns0:c r="D19" s="0" t="s">
        <ns0:v>106</ns0:v>
      </ns0:c>
      <ns0:c r="E19" s="0" t="s">
        <ns0:v>107</ns0:v>
      </ns0:c>
      <ns0:c r="F19" s="0" t="s">
        <ns0:v>108</ns0:v>
      </ns0:c>
      <ns0:c r="G19" s="5" t="n">
        <ns0:v>619964</ns0:v>
      </ns0:c>
      <ns0:c r="H19" s="0" t="n">
        <ns0:v>5</ns0:v>
      </ns0:c>
      <ns0:c r="I19" s="5" t="n">
        <ns0:v>89329</ns0:v>
      </ns0:c>
      <ns0:c r="J19" s="5" t="n">
        <ns0:v>72914</ns0:v>
      </ns0:c>
      <ns0:c r="K19" s="6" t="n">
        <ns0:v>1</ns0:v>
      </ns0:c>
      <ns0:c r="L19" s="5" t="n">
        <ns0:v>72912</ns0:v>
      </ns0:c>
      <ns0:c r="M19" s="5">
        <ns0:f aca="false">ROUND(J19*K19-L19,0)</ns0:f>
        <ns0:v>2</ns0:v>
      </ns0:c>
      <ns0:c r="N19" s="6">
        <ns0:f aca="false">G19/47201372</ns0:f>
        <ns0:v>0.0131344487189906</ns0:v>
      </ns0:c>
      <ns0:c r="O19" s="5" t="n">
        <ns0:v>540502</ns0:v>
      </ns0:c>
      <ns0:c r="P19" s="5" t="n">
        <ns0:v>617083</ns0:v>
      </ns0:c>
      <ns0:c r="Q19" s="7" t="s">
        <ns0:v>109</ns0:v>
      </ns0:c>
    </ns0:row>
    <ns0:row r="20" customFormat="false" ht="15" hidden="false" customHeight="false" outlineLevel="0" collapsed="false">
      <ns0:c r="A20" s="0" t="s">
        <ns0:v>61</ns0:v>
      </ns0:c>
      <ns0:c r="B20" s="0" t="s">
        <ns0:v>126</ns0:v>
      </ns0:c>
      <ns0:c r="C20" s="0" t="s">
        <ns0:v>127</ns0:v>
      </ns0:c>
      <ns0:c r="D20" s="0" t="s">
        <ns0:v>106</ns0:v>
      </ns0:c>
      <ns0:c r="E20" s="0" t="s">
        <ns0:v>128</ns0:v>
      </ns0:c>
      <ns0:c r="F20" s="0" t="s">
        <ns0:v>108</ns0:v>
      </ns0:c>
      <ns0:c r="G20" s="5" t="n">
        <ns0:v>7225118</ns0:v>
      </ns0:c>
      <ns0:c r="H20" s="0" t="n">
        <ns0:v>10</ns0:v>
      </ns0:c>
      <ns0:c r="I20" s="5" t="n">
        <ns0:v>768933</ns0:v>
      </ns0:c>
      <ns0:c r="J20" s="5" t="n">
        <ns0:v>476992</ns0:v>
      </ns0:c>
      <ns0:c r="K20" s="6" t="n">
        <ns0:v>0.51</ns0:v>
      </ns0:c>
      <ns0:c r="L20" s="5" t="n">
        <ns0:v>243266</ns0:v>
      </ns0:c>
      <ns0:c r="M20" s="5">
        <ns0:f aca="false">ROUND(J20*K20-L20,0)</ns0:f>
        <ns0:v>0</ns0:v>
      </ns0:c>
      <ns0:c r="N20" s="6">
        <ns0:f aca="false">G20/47201372</ns0:f>
        <ns0:v>0.153070084488222</ns0:v>
      </ns0:c>
      <ns0:c r="O20" s="5" t="n">
        <ns0:v>2293888</ns0:v>
      </ns0:c>
      <ns0:c r="P20" s="7" t="s">
        <ns0:v>129</ns0:v>
      </ns0:c>
      <ns0:c r="Q20" s="7" t="s">
        <ns0:v>130</ns0:v>
      </ns0:c>
    </ns0:row>
    <ns0:row r="21" customFormat="false" ht="15" hidden="false" customHeight="false" outlineLevel="0" collapsed="false">
      <ns0:c r="A21" s="0" t="s">
        <ns0:v>66</ns0:v>
      </ns0:c>
      <ns0:c r="B21" s="0" t="s">
        <ns0:v>126</ns0:v>
      </ns0:c>
      <ns0:c r="C21" s="0" t="s">
        <ns0:v>131</ns0:v>
      </ns0:c>
      <ns0:c r="D21" s="0" t="s">
        <ns0:v>106</ns0:v>
      </ns0:c>
      <ns0:c r="E21" s="0" t="s">
        <ns0:v>132</ns0:v>
      </ns0:c>
      <ns0:c r="F21" s="0" t="s">
        <ns0:v>108</ns0:v>
      </ns0:c>
      <ns0:c r="G21" s="5" t="n">
        <ns0:v>1591405</ns0:v>
      </ns0:c>
      <ns0:c r="H21" s="0" t="n">
        <ns0:v>15</ns0:v>
      </ns0:c>
      <ns0:c r="I21" s="5" t="n">
        <ns0:v>178814</ns0:v>
      </ns0:c>
      <ns0:c r="J21" s="5" t="n">
        <ns0:v>137047</ns0:v>
      </ns0:c>
      <ns0:c r="K21" s="6" t="n">
        <ns0:v>0.51</ns0:v>
      </ns0:c>
      <ns0:c r="L21" s="5" t="n">
        <ns0:v>69894</ns0:v>
      </ns0:c>
      <ns0:c r="M21" s="5">
        <ns0:f aca="false">ROUND(J21*K21-L21,0)</ns0:f>
        <ns0:v>0</ns0:v>
      </ns0:c>
      <ns0:c r="N21" s="6">
        <ns0:f aca="false">G21/47201372</ns0:f>
        <ns0:v>0.0337152275997401</ns0:v>
      </ns0:c>
      <ns0:c r="O21" s="5" t="n">
        <ns0:v>603592</ns0:v>
      </ns0:c>
      <ns0:c r="P21" s="7" t="s">
        <ns0:v>129</ns0:v>
      </ns0:c>
      <ns0:c r="Q21" s="7" t="s">
        <ns0:v>130</ns0:v>
      </ns0:c>
    </ns0:row>
    <ns0:row r="22" customFormat="false" ht="15" hidden="false" customHeight="false" outlineLevel="0" collapsed="false">
      <ns0:c r="A22" s="0" t="s">
        <ns0:v>70</ns0:v>
      </ns0:c>
      <ns0:c r="B22" s="0" t="s">
        <ns0:v>126</ns0:v>
      </ns0:c>
      <ns0:c r="C22" s="0" t="s">
        <ns0:v>133</ns0:v>
      </ns0:c>
      <ns0:c r="D22" s="0" t="s">
        <ns0:v>106</ns0:v>
      </ns0:c>
      <ns0:c r="E22" s="0" t="s">
        <ns0:v>134</ns0:v>
      </ns0:c>
      <ns0:c r="F22" s="0" t="s">
        <ns0:v>108</ns0:v>
      </ns0:c>
      <ns0:c r="G22" s="5" t="n">
        <ns0:v>1756416</ns0:v>
      </ns0:c>
      <ns0:c r="H22" s="0" t="n">
        <ns0:v>7</ns0:v>
      </ns0:c>
      <ns0:c r="I22" s="5" t="n">
        <ns0:v>196714</ns0:v>
      </ns0:c>
      <ns0:c r="J22" s="5" t="n">
        <ns0:v>137698</ns0:v>
      </ns0:c>
      <ns0:c r="K22" s="6" t="n">
        <ns0:v>0.5</ns0:v>
      </ns0:c>
      <ns0:c r="L22" s="5" t="n">
        <ns0:v>68850</ns0:v>
      </ns0:c>
      <ns0:c r="M22" s="5">
        <ns0:f aca="false">ROUND(J22*K22-L22,0)</ns0:f>
        <ns0:v>-1</ns0:v>
      </ns0:c>
      <ns0:c r="N22" s="6">
        <ns0:f aca="false">G22/47201372</ns0:f>
        <ns0:v>0.037211121744512</ns0:v>
      </ns0:c>
      <ns0:c r="O22" s="5" t="n">
        <ns0:v>387609</ns0:v>
      </ns0:c>
      <ns0:c r="P22" s="7" t="s">
        <ns0:v>129</ns0:v>
      </ns0:c>
      <ns0:c r="Q22" s="7" t="s">
        <ns0:v>130</ns0:v>
      </ns0:c>
    </ns0:row>
    <ns0:row r="23" customFormat="false" ht="15" hidden="false" customHeight="false" outlineLevel="0" collapsed="false">
      <ns0:c r="A23" s="0" t="s">
        <ns0:v>73</ns0:v>
      </ns0:c>
      <ns0:c r="B23" s="0" t="s">
        <ns0:v>126</ns0:v>
      </ns0:c>
      <ns0:c r="C23" s="0" t="s">
        <ns0:v>135</ns0:v>
      </ns0:c>
      <ns0:c r="D23" s="0" t="s">
        <ns0:v>106</ns0:v>
      </ns0:c>
      <ns0:c r="E23" s="0" t="s">
        <ns0:v>134</ns0:v>
      </ns0:c>
      <ns0:c r="F23" s="0" t="s">
        <ns0:v>108</ns0:v>
      </ns0:c>
      <ns0:c r="G23" s="5" t="n">
        <ns0:v>1122605</ns0:v>
      </ns0:c>
      <ns0:c r="H23" s="0" t="n">
        <ns0:v>7</ns0:v>
      </ns0:c>
      <ns0:c r="I23" s="5" t="n">
        <ns0:v>130806</ns0:v>
      </ns0:c>
      <ns0:c r="J23" s="5" t="n">
        <ns0:v>92302</ns0:v>
      </ns0:c>
      <ns0:c r="K23" s="6" t="n">
        <ns0:v>0.5</ns0:v>
      </ns0:c>
      <ns0:c r="L23" s="5" t="n">
        <ns0:v>46151</ns0:v>
      </ns0:c>
      <ns0:c r="M23" s="5">
        <ns0:f aca="false">ROUND(J23*K23-L23,0)</ns0:f>
        <ns0:v>0</ns0:v>
      </ns0:c>
      <ns0:c r="N23" s="6">
        <ns0:f aca="false">G23/47201372</ns0:f>
        <ns0:v>0.0237833129087858</ns0:v>
      </ns0:c>
      <ns0:c r="O23" s="5" t="n">
        <ns0:v>258000</ns0:v>
      </ns0:c>
      <ns0:c r="P23" s="7" t="s">
        <ns0:v>129</ns0:v>
      </ns0:c>
      <ns0:c r="Q23" s="7" t="s">
        <ns0:v>130</ns0:v>
      </ns0:c>
    </ns0:row>
    <ns0:row r="24" customFormat="false" ht="15" hidden="false" customHeight="false" outlineLevel="0" collapsed="false">
      <ns0:c r="A24" s="0" t="s">
        <ns0:v>76</ns0:v>
      </ns0:c>
      <ns0:c r="B24" s="0" t="s">
        <ns0:v>126</ns0:v>
      </ns0:c>
      <ns0:c r="C24" s="0" t="s">
        <ns0:v>136</ns0:v>
      </ns0:c>
      <ns0:c r="D24" s="0" t="s">
        <ns0:v>106</ns0:v>
      </ns0:c>
      <ns0:c r="E24" s="0" t="s">
        <ns0:v>107</ns0:v>
      </ns0:c>
      <ns0:c r="F24" s="0" t="s">
        <ns0:v>108</ns0:v>
      </ns0:c>
      <ns0:c r="G24" s="5" t="n">
        <ns0:v>4656226</ns0:v>
      </ns0:c>
      <ns0:c r="H24" s="0" t="n">
        <ns0:v>5</ns0:v>
      </ns0:c>
      <ns0:c r="I24" s="5" t="n">
        <ns0:v>480217</ns0:v>
      </ns0:c>
      <ns0:c r="J24" s="5" t="n">
        <ns0:v>165778</ns0:v>
      </ns0:c>
      <ns0:c r="K24" s="6" t="n">
        <ns0:v>0.5</ns0:v>
      </ns0:c>
      <ns0:c r="L24" s="5" t="n">
        <ns0:v>82888</ns0:v>
      </ns0:c>
      <ns0:c r="M24" s="5">
        <ns0:f aca="false">ROUND(J24*K24-L24,0)</ns0:f>
        <ns0:v>1</ns0:v>
      </ns0:c>
      <ns0:c r="N24" s="6">
        <ns0:f aca="false">G24/47201372</ns0:f>
        <ns0:v>0.098645988510673</ns0:v>
      </ns0:c>
      <ns0:c r="O24" s="5" t="n">
        <ns0:v>611726</ns0:v>
      </ns0:c>
      <ns0:c r="P24" s="7" t="s">
        <ns0:v>129</ns0:v>
      </ns0:c>
      <ns0:c r="Q24" s="7" t="s">
        <ns0:v>130</ns0:v>
      </ns0:c>
    </ns0:row>
    <ns0:row r="25" customFormat="false" ht="15" hidden="false" customHeight="false" outlineLevel="0" collapsed="false">
      <ns0:c r="K25" s="6"/>
      <ns0:c r="N25" s="6"/>
    </ns0:row>
    <ns0:row r="26" customFormat="false" ht="15" hidden="false" customHeight="false" outlineLevel="0" collapsed="false">
      <ns0:c r="A26" s="0" t="s">
        <ns0:v>137</ns0:v>
      </ns0:c>
      <ns0:c r="G26" s="5">
        <ns0:f aca="false">SUM(G4:G19)</ns0:f>
        <ns0:v>8474171</ns0:v>
      </ns0:c>
      <ns0:c r="J26" s="5">
        <ns0:f aca="false">SUM(J4:J19)</ns0:f>
        <ns0:v>780058</ns0:v>
      </ns0:c>
      <ns0:c r="K26" s="6"/>
      <ns0:c r="L26" s="5">
        <ns0:f aca="false">SUM(L4:L19)</ns0:f>
        <ns0:v>780056</ns0:v>
      </ns0:c>
      <ns0:c r="M26" s="5">
        <ns0:f aca="false">SUM(M4:M19)</ns0:f>
        <ns0:v>2</ns0:v>
      </ns0:c>
      <ns0:c r="N26" s="6">
        <ns0:f aca="false">SUM(N4:N19)</ns0:f>
        <ns0:v>0.179532302577984</ns0:v>
      </ns0:c>
      <ns0:c r="O26" s="5">
        <ns0:f aca="false">SUM(O4:O19)</ns0:f>
        <ns0:v>7264449</ns0:v>
      </ns0:c>
      <ns0:c r="P26" s="5">
        <ns0:f aca="false">SUM(P4:P19)</ns0:f>
        <ns0:v>8179040</ns0:v>
      </ns0:c>
    </ns0:row>
    <ns0:row r="27" customFormat="false" ht="15" hidden="false" customHeight="false" outlineLevel="0" collapsed="false">
      <ns0:c r="A27" s="0" t="s">
        <ns0:v>138</ns0:v>
      </ns0:c>
      <ns0:c r="K27" s="6"/>
      <ns0:c r="L27" s="5">
        <ns0:f aca="false">SUM(L20:L24)</ns0:f>
        <ns0:v>511049</ns0:v>
      </ns0:c>
      <ns0:c r="M27" s="5">
        <ns0:f aca="false">SUM(M20:M24)</ns0:f>
        <ns0:v>0</ns0:v>
      </ns0:c>
      <ns0:c r="N27" s="6"/>
      <ns0:c r="O27" s="5">
        <ns0:f aca="false">SUM(O20:O24)</ns0:f>
        <ns0:v>4154815</ns0:v>
      </ns0:c>
    </ns0:row>
    <ns0:row r="28" customFormat="false" ht="15" hidden="false" customHeight="false" outlineLevel="0" collapsed="false">
      <ns0:c r="A28" s="0" t="s">
        <ns0:v>139</ns0:v>
      </ns0:c>
      <ns0:c r="K28" s="6"/>
      <ns0:c r="L28" s="5" t="n">
        <ns0:v>511049</ns0:v>
      </ns0:c>
      <ns0:c r="M28" s="5">
        <ns0:f aca="false">L27-L28</ns0:f>
        <ns0:v>0</ns0:v>
      </ns0:c>
      <ns0:c r="N28" s="6" t="s">
        <ns0:v>140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3.xml><?xml version="1.0" encoding="utf-8"?>
<ns0:worksheet xmlns:ns0="http://schemas.openxmlformats.org/spreadsheetml/2006/main">
  <ns0:sheetPr filterMode="false">
    <ns0:pageSetUpPr fitToPage="false"/>
  </ns0:sheetPr>
  <ns0:dimension ref="A1:F9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zeroHeight="false" outlineLevelRow="0" outlineLevelCol="0"/>
  <ns0:cols>
    <ns0:col collapsed="false" customWidth="true" hidden="false" outlineLevel="0" max="1" min="1" style="0" width="80"/>
    <ns0:col collapsed="false" customWidth="true" hidden="false" outlineLevel="0" max="5" min="2" style="0" width="16"/>
    <ns0:col collapsed="false" customWidth="true" hidden="false" outlineLevel="0" max="6" min="6" style="0" width="90"/>
  </ns0:cols>
  <ns0:sheetData>
    <ns0:row r="1" customFormat="false" ht="15" hidden="false" customHeight="false" outlineLevel="0" collapsed="false">
      <ns0:c r="A1" s="1" t="s">
        <ns0:v>141</ns0:v>
      </ns0:c>
    </ns0:row>
    <ns0:row r="2" customFormat="false" ht="15" hidden="false" customHeight="false" outlineLevel="0" collapsed="false">
      <ns0:c r="A2" s="2" t="s">
        <ns0:v>142</ns0:v>
      </ns0:c>
      <ns0:c r="B2" s="2" t="s">
        <ns0:v>143</ns0:v>
      </ns0:c>
      <ns0:c r="C2" s="2" t="s">
        <ns0:v>144</ns0:v>
      </ns0:c>
      <ns0:c r="D2" s="2" t="s">
        <ns0:v>145</ns0:v>
      </ns0:c>
      <ns0:c r="E2" s="2" t="s">
        <ns0:v>146</ns0:v>
      </ns0:c>
      <ns0:c r="F2" s="2" t="s">
        <ns0:v>147</ns0:v>
      </ns0:c>
    </ns0:row>
    <ns0:row r="3" customFormat="false" ht="15" hidden="false" customHeight="false" outlineLevel="0" collapsed="false">
      <ns0:c r="A3" s="0" t="s">
        <ns0:v>148</ns0:v>
      </ns0:c>
      <ns0:c r="B3" s="5" t="n">
        <ns0:v>36431298</ns0:v>
      </ns0:c>
      <ns0:c r="C3" s="5" t="n">
        <ns0:v>28252258</ns0:v>
      </ns0:c>
      <ns0:c r="D3" s="5">
        <ns0:f aca="false">Matriz_componentes!P26</ns0:f>
        <ns0:v>8179040</ns0:v>
      </ns0:c>
      <ns0:c r="E3" s="5">
        <ns0:f aca="false">B3-C3-D3</ns0:f>
        <ns0:v>0</ns0:v>
      </ns0:c>
      <ns0:c r="F3" s="7" t="s">
        <ns0:v>149</ns0:v>
      </ns0:c>
    </ns0:row>
    <ns0:row r="4" customFormat="false" ht="15" hidden="false" customHeight="false" outlineLevel="0" collapsed="false">
      <ns0:c r="A4" s="0" t="s">
        <ns0:v>150</ns0:v>
      </ns0:c>
      <ns0:c r="B4" s="5" t="n">
        <ns0:v>21437011</ns0:v>
      </ns0:c>
      <ns0:c r="C4" s="5" t="n">
        <ns0:v>21151467</ns0:v>
      </ns0:c>
      <ns0:c r="D4" s="5" t="n">
        <ns0:v>285544</ns0:v>
      </ns0:c>
      <ns0:c r="E4" s="5">
        <ns0:f aca="false">B4-C4-D4</ns0:f>
        <ns0:v>0</ns0:v>
      </ns0:c>
      <ns0:c r="F4" s="7" t="s">
        <ns0:v>151</ns0:v>
      </ns0:c>
    </ns0:row>
    <ns0:row r="5" customFormat="false" ht="15" hidden="false" customHeight="false" outlineLevel="0" collapsed="false">
      <ns0:c r="A5" s="0" t="s">
        <ns0:v>152</ns0:v>
      </ns0:c>
      <ns0:c r="B5" s="5">
        <ns0:f aca="false">Matriz_componentes!J26</ns0:f>
        <ns0:v>780058</ns0:v>
      </ns0:c>
      <ns0:c r="C5" s="5">
        <ns0:f aca="false">Matriz_componentes!L26</ns0:f>
        <ns0:v>780056</ns0:v>
      </ns0:c>
      <ns0:c r="D5" s="5"/>
      <ns0:c r="E5" s="5">
        <ns0:f aca="false">B5-C5</ns0:f>
        <ns0:v>2</ns0:v>
      </ns0:c>
      <ns0:c r="F5" s="7" t="s">
        <ns0:v>153</ns0:v>
      </ns0:c>
    </ns0:row>
    <ns0:row r="6" customFormat="false" ht="15" hidden="false" customHeight="false" outlineLevel="0" collapsed="false">
      <ns0:c r="A6" s="0" t="s">
        <ns0:v>154</ns0:v>
      </ns0:c>
      <ns0:c r="B6" s="5">
        <ns0:f aca="false">Matriz_componentes!L27</ns0:f>
        <ns0:v>511049</ns0:v>
      </ns0:c>
      <ns0:c r="C6" s="5" t="n">
        <ns0:v>511049</ns0:v>
      </ns0:c>
      <ns0:c r="D6" s="5"/>
      <ns0:c r="E6" s="5">
        <ns0:f aca="false">B6-C6</ns0:f>
        <ns0:v>0</ns0:v>
      </ns0:c>
      <ns0:c r="F6" s="7" t="s">
        <ns0:v>155</ns0:v>
      </ns0:c>
    </ns0:row>
    <ns0:row r="7" customFormat="false" ht="15" hidden="false" customHeight="false" outlineLevel="0" collapsed="false">
      <ns0:c r="A7" s="0" t="s">
        <ns0:v>156</ns0:v>
      </ns0:c>
      <ns0:c r="B7" s="5" t="n">
        <ns0:v>4154815</ns0:v>
      </ns0:c>
      <ns0:c r="C7" s="5">
        <ns0:f aca="false">Matriz_componentes!O27</ns0:f>
        <ns0:v>4154815</ns0:v>
      </ns0:c>
      <ns0:c r="D7" s="5"/>
      <ns0:c r="E7" s="5">
        <ns0:f aca="false">B7-C7</ns0:f>
        <ns0:v>0</ns0:v>
      </ns0:c>
      <ns0:c r="F7" s="7" t="s">
        <ns0:v>157</ns0:v>
      </ns0:c>
    </ns0:row>
    <ns0:row r="8" customFormat="false" ht="15" hidden="false" customHeight="false" outlineLevel="0" collapsed="false">
      <ns0:c r="A8" s="0" t="s">
        <ns0:v>158</ns0:v>
      </ns0:c>
      <ns0:c r="B8" s="5" t="n">
        <ns0:v>45960743</ns0:v>
      </ns0:c>
      <ns0:c r="C8" s="5">
        <ns0:f aca="false">Matriz_componentes!G26</ns0:f>
        <ns0:v>8474171</ns0:v>
      </ns0:c>
      <ns0:c r="D8" s="5" t="n">
        <ns0:v>47201372</ns0:v>
      </ns0:c>
      <ns0:c r="E8" s="5">
        <ns0:f aca="false">B8+C8-D8</ns0:f>
        <ns0:v>7233542</ns0:v>
      </ns0:c>
      <ns0:c r="F8" s="7" t="s">
        <ns0:v>159</ns0:v>
      </ns0:c>
    </ns0:row>
    <ns0:row r="9" customFormat="false" ht="15" hidden="false" customHeight="false" outlineLevel="0" collapsed="false">
      <ns0:c r="A9" s="0" t="s">
        <ns0:v>160</ns0:v>
      </ns0:c>
      <ns0:c r="B9" s="5" t="n">
        <ns0:v>7264449</ns0:v>
      </ns0:c>
      <ns0:c r="C9" s="5"/>
      <ns0:c r="D9" s="5"/>
      <ns0:c r="E9" s="5">
        <ns0:f aca="false">E8-B9</ns0:f>
        <ns0:v>-30907</ns0:v>
      </ns0:c>
      <ns0:c r="F9" s="7" t="s">
        <ns0:v>161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7" min="6" style="0" width="36"/>
    <col collapsed="false" customWidth="true" hidden="false" outlineLevel="0" max="8" min="8" style="0" width="22"/>
    <col collapsed="false" customWidth="true" hidden="false" outlineLevel="0" max="9" min="9" style="0" width="36"/>
    <col collapsed="false" customWidth="true" hidden="false" outlineLevel="0" max="10" min="10" style="0" width="50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90</v>
      </c>
      <c r="B2" s="2" t="s">
        <v>163</v>
      </c>
      <c r="C2" s="2" t="s">
        <v>164</v>
      </c>
      <c r="D2" s="2" t="s">
        <v>165</v>
      </c>
      <c r="E2" s="2" t="s">
        <v>166</v>
      </c>
      <c r="F2" s="2" t="s">
        <v>167</v>
      </c>
      <c r="G2" s="2" t="s">
        <v>168</v>
      </c>
      <c r="H2" s="2" t="s">
        <v>169</v>
      </c>
      <c r="I2" s="2" t="s">
        <v>170</v>
      </c>
      <c r="J2" s="2" t="s">
        <v>171</v>
      </c>
      <c r="K2" s="2" t="s">
        <v>172</v>
      </c>
    </row>
    <row r="3" customFormat="false" ht="55.2" hidden="false" customHeight="false" outlineLevel="0" collapsed="false">
      <c r="A3" s="3" t="s">
        <v>173</v>
      </c>
      <c r="B3" s="3" t="s">
        <v>174</v>
      </c>
      <c r="C3" s="3" t="s">
        <v>175</v>
      </c>
      <c r="D3" s="3" t="s">
        <v>176</v>
      </c>
      <c r="E3" s="3" t="s">
        <v>177</v>
      </c>
      <c r="F3" s="3" t="s">
        <v>178</v>
      </c>
      <c r="G3" s="3" t="s">
        <v>179</v>
      </c>
      <c r="H3" s="3" t="s">
        <v>180</v>
      </c>
      <c r="I3" s="3" t="s">
        <v>181</v>
      </c>
      <c r="J3" s="3" t="s">
        <v>182</v>
      </c>
      <c r="K3" s="3" t="s">
        <v>183</v>
      </c>
    </row>
    <row r="4" customFormat="false" ht="28.35" hidden="false" customHeight="false" outlineLevel="0" collapsed="false">
      <c r="A4" s="3" t="s">
        <v>184</v>
      </c>
      <c r="B4" s="3" t="s">
        <v>185</v>
      </c>
      <c r="C4" s="3" t="s">
        <v>186</v>
      </c>
      <c r="D4" s="3" t="s">
        <v>176</v>
      </c>
      <c r="E4" s="3" t="s">
        <v>177</v>
      </c>
      <c r="F4" s="3" t="s">
        <v>187</v>
      </c>
      <c r="G4" s="3" t="s">
        <v>188</v>
      </c>
      <c r="H4" s="3" t="s">
        <v>189</v>
      </c>
      <c r="I4" s="3" t="s">
        <v>190</v>
      </c>
      <c r="J4" s="3" t="s">
        <v>190</v>
      </c>
      <c r="K4" s="3" t="s">
        <v>183</v>
      </c>
    </row>
    <row r="5" customFormat="false" ht="15" hidden="false" customHeight="false" outlineLevel="0" collapsed="false">
      <c r="A5" s="3" t="s">
        <v>191</v>
      </c>
      <c r="B5" s="3" t="s">
        <v>192</v>
      </c>
      <c r="C5" s="3" t="s">
        <v>193</v>
      </c>
      <c r="D5" s="3" t="s">
        <v>176</v>
      </c>
      <c r="E5" s="3" t="s">
        <v>177</v>
      </c>
      <c r="F5" s="3" t="s">
        <v>187</v>
      </c>
      <c r="G5" s="3" t="s">
        <v>188</v>
      </c>
      <c r="H5" s="3" t="s">
        <v>189</v>
      </c>
      <c r="I5" s="3" t="s">
        <v>190</v>
      </c>
      <c r="J5" s="3" t="s">
        <v>190</v>
      </c>
      <c r="K5" s="3" t="s">
        <v>183</v>
      </c>
    </row>
    <row r="6" customFormat="false" ht="15" hidden="false" customHeight="false" outlineLevel="0" collapsed="false">
      <c r="A6" s="3" t="s">
        <v>194</v>
      </c>
      <c r="B6" s="3" t="s">
        <v>195</v>
      </c>
      <c r="C6" s="3" t="s">
        <v>196</v>
      </c>
      <c r="D6" s="3" t="s">
        <v>176</v>
      </c>
      <c r="E6" s="3" t="s">
        <v>177</v>
      </c>
      <c r="F6" s="3" t="s">
        <v>187</v>
      </c>
      <c r="G6" s="3" t="s">
        <v>188</v>
      </c>
      <c r="H6" s="3" t="s">
        <v>189</v>
      </c>
      <c r="I6" s="3" t="s">
        <v>190</v>
      </c>
      <c r="J6" s="3" t="s">
        <v>190</v>
      </c>
      <c r="K6" s="3" t="s">
        <v>183</v>
      </c>
    </row>
    <row r="7" customFormat="false" ht="68.65" hidden="false" customHeight="false" outlineLevel="0" collapsed="false">
      <c r="A7" s="3" t="s">
        <v>197</v>
      </c>
      <c r="B7" s="3" t="s">
        <v>198</v>
      </c>
      <c r="C7" s="3" t="s">
        <v>199</v>
      </c>
      <c r="D7" s="3" t="s">
        <v>176</v>
      </c>
      <c r="E7" s="3" t="s">
        <v>200</v>
      </c>
      <c r="F7" s="3" t="s">
        <v>201</v>
      </c>
      <c r="G7" s="3" t="s">
        <v>202</v>
      </c>
      <c r="H7" s="3" t="s">
        <v>203</v>
      </c>
      <c r="I7" s="3" t="s">
        <v>204</v>
      </c>
      <c r="J7" s="3" t="s">
        <v>205</v>
      </c>
      <c r="K7" s="3" t="s">
        <v>206</v>
      </c>
    </row>
    <row r="8" customFormat="false" ht="55.2" hidden="false" customHeight="false" outlineLevel="0" collapsed="false">
      <c r="A8" s="3" t="s">
        <v>207</v>
      </c>
      <c r="B8" s="3" t="s">
        <v>208</v>
      </c>
      <c r="C8" s="3" t="s">
        <v>209</v>
      </c>
      <c r="D8" s="3" t="s">
        <v>176</v>
      </c>
      <c r="E8" s="3" t="s">
        <v>210</v>
      </c>
      <c r="F8" s="3" t="s">
        <v>211</v>
      </c>
      <c r="G8" s="3" t="s">
        <v>212</v>
      </c>
      <c r="H8" s="3" t="s">
        <v>189</v>
      </c>
      <c r="I8" s="3" t="s">
        <v>213</v>
      </c>
      <c r="J8" s="3" t="s">
        <v>214</v>
      </c>
      <c r="K8" s="3" t="s">
        <v>215</v>
      </c>
    </row>
    <row r="9" customFormat="false" ht="41.75" hidden="false" customHeight="false" outlineLevel="0" collapsed="false">
      <c r="A9" s="3" t="s">
        <v>216</v>
      </c>
      <c r="B9" s="3" t="s">
        <v>217</v>
      </c>
      <c r="C9" s="3" t="s">
        <v>218</v>
      </c>
      <c r="D9" s="3" t="s">
        <v>219</v>
      </c>
      <c r="E9" s="3" t="s">
        <v>220</v>
      </c>
      <c r="F9" s="3" t="s">
        <v>221</v>
      </c>
      <c r="G9" s="3" t="s">
        <v>222</v>
      </c>
      <c r="H9" s="3" t="s">
        <v>12</v>
      </c>
      <c r="I9" s="3" t="s">
        <v>12</v>
      </c>
      <c r="J9" s="3" t="s">
        <v>223</v>
      </c>
      <c r="K9" s="3" t="s">
        <v>224</v>
      </c>
    </row>
    <row r="10" customFormat="false" ht="41.75" hidden="false" customHeight="false" outlineLevel="0" collapsed="false">
      <c r="A10" s="3" t="s">
        <v>225</v>
      </c>
      <c r="B10" s="3" t="s">
        <v>226</v>
      </c>
      <c r="C10" s="3" t="s">
        <v>227</v>
      </c>
      <c r="D10" s="3" t="s">
        <v>176</v>
      </c>
      <c r="E10" s="3" t="s">
        <v>228</v>
      </c>
      <c r="F10" s="3" t="s">
        <v>229</v>
      </c>
      <c r="G10" s="3" t="s">
        <v>230</v>
      </c>
      <c r="H10" s="3" t="s">
        <v>231</v>
      </c>
      <c r="I10" s="3" t="s">
        <v>232</v>
      </c>
      <c r="J10" s="3" t="s">
        <v>233</v>
      </c>
      <c r="K10" s="3" t="s">
        <v>234</v>
      </c>
    </row>
    <row r="11" customFormat="false" ht="41.75" hidden="false" customHeight="false" outlineLevel="0" collapsed="false">
      <c r="A11" s="3" t="s">
        <v>235</v>
      </c>
      <c r="B11" s="3" t="s">
        <v>236</v>
      </c>
      <c r="C11" s="3" t="s">
        <v>237</v>
      </c>
      <c r="D11" s="3" t="s">
        <v>176</v>
      </c>
      <c r="E11" s="3" t="s">
        <v>238</v>
      </c>
      <c r="F11" s="3" t="s">
        <v>239</v>
      </c>
      <c r="G11" s="3" t="s">
        <v>240</v>
      </c>
      <c r="H11" s="3" t="s">
        <v>12</v>
      </c>
      <c r="I11" s="3" t="s">
        <v>12</v>
      </c>
      <c r="J11" s="3" t="s">
        <v>241</v>
      </c>
      <c r="K11" s="3" t="s">
        <v>242</v>
      </c>
    </row>
    <row r="12" customFormat="false" ht="28.35" hidden="false" customHeight="false" outlineLevel="0" collapsed="false">
      <c r="A12" s="3" t="s">
        <v>243</v>
      </c>
      <c r="B12" s="3" t="s">
        <v>244</v>
      </c>
      <c r="C12" s="3" t="s">
        <v>245</v>
      </c>
      <c r="D12" s="3" t="s">
        <v>176</v>
      </c>
      <c r="E12" s="3" t="s">
        <v>246</v>
      </c>
      <c r="F12" s="3" t="s">
        <v>247</v>
      </c>
      <c r="G12" s="3" t="s">
        <v>248</v>
      </c>
      <c r="H12" s="3" t="s">
        <v>189</v>
      </c>
      <c r="I12" s="3" t="s">
        <v>249</v>
      </c>
      <c r="J12" s="3" t="s">
        <v>250</v>
      </c>
      <c r="K12" s="3" t="s">
        <v>251</v>
      </c>
    </row>
    <row r="13" customFormat="false" ht="41.75" hidden="false" customHeight="false" outlineLevel="0" collapsed="false">
      <c r="A13" s="3" t="s">
        <v>252</v>
      </c>
      <c r="B13" s="3" t="s">
        <v>253</v>
      </c>
      <c r="C13" s="3" t="s">
        <v>254</v>
      </c>
      <c r="D13" s="3" t="s">
        <v>255</v>
      </c>
      <c r="E13" s="3" t="s">
        <v>256</v>
      </c>
      <c r="F13" s="3" t="s">
        <v>257</v>
      </c>
      <c r="G13" s="3" t="s">
        <v>258</v>
      </c>
      <c r="H13" s="3" t="s">
        <v>259</v>
      </c>
      <c r="I13" s="3" t="s">
        <v>260</v>
      </c>
      <c r="J13" s="3" t="s">
        <v>261</v>
      </c>
      <c r="K13" s="3" t="s">
        <v>262</v>
      </c>
    </row>
    <row r="14" customFormat="false" ht="28.35" hidden="false" customHeight="false" outlineLevel="0" collapsed="false">
      <c r="A14" s="3" t="s">
        <v>263</v>
      </c>
      <c r="B14" s="3" t="s">
        <v>264</v>
      </c>
      <c r="C14" s="3" t="s">
        <v>265</v>
      </c>
      <c r="D14" s="3" t="s">
        <v>255</v>
      </c>
      <c r="E14" s="3" t="s">
        <v>266</v>
      </c>
      <c r="F14" s="3" t="s">
        <v>267</v>
      </c>
      <c r="G14" s="3" t="s">
        <v>258</v>
      </c>
      <c r="H14" s="3" t="s">
        <v>259</v>
      </c>
      <c r="I14" s="3" t="s">
        <v>12</v>
      </c>
      <c r="J14" s="3" t="s">
        <v>268</v>
      </c>
      <c r="K14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  <c r="B2" s="2" t="s">
        <v>271</v>
      </c>
      <c r="C2" s="2" t="s">
        <v>272</v>
      </c>
      <c r="D2" s="2" t="s">
        <v>273</v>
      </c>
    </row>
    <row r="3" customFormat="false" ht="15" hidden="false" customHeight="false" outlineLevel="0" collapsed="false">
      <c r="A3" s="0" t="s">
        <v>274</v>
      </c>
      <c r="B3" s="0" t="s">
        <v>275</v>
      </c>
      <c r="C3" s="0" t="s">
        <v>276</v>
      </c>
      <c r="D3" s="0" t="s">
        <v>277</v>
      </c>
    </row>
    <row r="4" customFormat="false" ht="15" hidden="false" customHeight="false" outlineLevel="0" collapsed="false">
      <c r="A4" s="0" t="s">
        <v>278</v>
      </c>
      <c r="B4" s="0" t="s">
        <v>279</v>
      </c>
      <c r="C4" s="0" t="s">
        <v>280</v>
      </c>
      <c r="D4" s="0" t="s">
        <v>277</v>
      </c>
    </row>
    <row r="5" customFormat="false" ht="15" hidden="false" customHeight="false" outlineLevel="0" collapsed="false">
      <c r="A5" s="0" t="s">
        <v>281</v>
      </c>
      <c r="B5" s="0" t="s">
        <v>282</v>
      </c>
      <c r="C5" s="0" t="s">
        <v>276</v>
      </c>
      <c r="D5" s="0" t="s">
        <v>277</v>
      </c>
    </row>
    <row r="6" customFormat="false" ht="15" hidden="false" customHeight="false" outlineLevel="0" collapsed="false">
      <c r="A6" s="0" t="s">
        <v>283</v>
      </c>
      <c r="B6" s="0" t="s">
        <v>284</v>
      </c>
      <c r="C6" s="0" t="s">
        <v>285</v>
      </c>
      <c r="D6" s="0" t="s">
        <v>286</v>
      </c>
    </row>
    <row r="7" customFormat="false" ht="15" hidden="false" customHeight="false" outlineLevel="0" collapsed="false">
      <c r="A7" s="0" t="s">
        <v>287</v>
      </c>
      <c r="B7" s="0" t="s">
        <v>288</v>
      </c>
      <c r="C7" s="0" t="s">
        <v>289</v>
      </c>
      <c r="D7" s="0" t="s">
        <v>290</v>
      </c>
    </row>
    <row r="8" customFormat="false" ht="15" hidden="false" customHeight="false" outlineLevel="0" collapsed="false">
      <c r="A8" s="0" t="s">
        <v>291</v>
      </c>
      <c r="B8" s="0" t="s">
        <v>292</v>
      </c>
      <c r="C8" s="0" t="s">
        <v>293</v>
      </c>
      <c r="D8" s="0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2026-10-21T01:21:44Z</dcterms:created>
  <dc:creator>openpyxl</dc:creator>
  <dc:description/>
  <dc:language>en-US</dc:language>
  <cp:lastModifiedBy/>
  <dcterms:modified xsi:type="dcterms:W3CDTF">2026-10-21T01:21:58Z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