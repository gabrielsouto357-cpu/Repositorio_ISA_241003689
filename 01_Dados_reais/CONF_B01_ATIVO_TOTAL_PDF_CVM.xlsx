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erencia" sheetId="1" state="visible" r:id="rId3"/>
    <sheet name="Filtros_e_metadad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Fonte: F0003 6429-DF25 ISA Energia Brasil, pág. física 23 (sem número impresso no rodapé; sumário indica 23). Leitura visual da imagem conferida em 19/10/2026.</t>
        </r>
      </text>
    </comment>
  </commentList>
</comments>
</file>

<file path=xl/sharedStrings.xml><?xml version="1.0" encoding="utf-8"?>
<sst xmlns="http://schemas.openxmlformats.org/spreadsheetml/2006/main" count="41" uniqueCount="41">
  <si>
    <t xml:space="preserve">Conferência inicial PDF × CVM – Ativo total consolidado (R$ mil)</t>
  </si>
  <si>
    <t xml:space="preserve">Preparador: matrícula 241003689 (execução assistida por IA) | 2026-10-19 | Modalidade: Realizado com evidência pública</t>
  </si>
  <si>
    <t xml:space="preserve">Item</t>
  </si>
  <si>
    <t xml:space="preserve">Exercício 2025 (31/12/2025)</t>
  </si>
  <si>
    <t xml:space="preserve">Exercício 2024 (31/12/2024 – comparativo)</t>
  </si>
  <si>
    <t xml:space="preserve">PDF F0003 – Balanço Patrimonial, coluna Consolidado, linha 'Total do ativo' (pág. física 23; escala 'Em milhares de reais' no cabeçalho em imagem)</t>
  </si>
  <si>
    <t xml:space="preserve">CVM F0037 – BPA_con_2025, CD_CONTA=1 'Ativo Total', VERSAO=1, ESCALA_MOEDA=MIL (linhas 3 e 2 do extrato)</t>
  </si>
  <si>
    <t xml:space="preserve">CVM F0018 – ZIP oficial, dfp_cia_aberta_BPA_con_2025.csv, CNPJ 02.998.611/0001-04 (linhas 8181 e 8180)</t>
  </si>
  <si>
    <t xml:space="preserve">PDF F0011 – DF 2024, Consolidado, 'Total do ativo' (pág. física 22)</t>
  </si>
  <si>
    <t xml:space="preserve">Valor de referência informado pelo aluno</t>
  </si>
  <si>
    <t xml:space="preserve">Diferença PDF − CVM extrato</t>
  </si>
  <si>
    <t xml:space="preserve">Diferença CVM extrato − CVM ZIP</t>
  </si>
  <si>
    <t xml:space="preserve">Diferença PDF 2025 − referência do aluno</t>
  </si>
  <si>
    <t xml:space="preserve">Diferença comparativo F0003 − F0011</t>
  </si>
  <si>
    <t xml:space="preserve">Conclusão</t>
  </si>
  <si>
    <t xml:space="preserve">Arquivo CVM</t>
  </si>
  <si>
    <t xml:space="preserve">03_CVM_DFP_e_cadastro/Extratos_ISA_2025/ISA_dfp_cia_aberta_BPA_con_2025.csv (F0037), derivado do ZIP F0018</t>
  </si>
  <si>
    <t xml:space="preserve">Filtro</t>
  </si>
  <si>
    <t xml:space="preserve">CNPJ_CIA = 02.998.611/0001-04 (CD_CVM 018376); CD_CONTA = 1</t>
  </si>
  <si>
    <t xml:space="preserve">GRUPO_DFP</t>
  </si>
  <si>
    <t xml:space="preserve">DF Consolidado - Balanço Patrimonial Ativo</t>
  </si>
  <si>
    <t xml:space="preserve">DT_REFER</t>
  </si>
  <si>
    <t xml:space="preserve">2025-12-31</t>
  </si>
  <si>
    <t xml:space="preserve">VERSAO</t>
  </si>
  <si>
    <t xml:space="preserve">1 (única versão no pacote consultado)</t>
  </si>
  <si>
    <t xml:space="preserve">ORDEM_EXERC / DT_FIM_EXERC</t>
  </si>
  <si>
    <t xml:space="preserve">ÚLTIMO → 2025-12-31 (linha 3 do extrato); PENÚLTIMO → 2024-12-31 (linha 2)</t>
  </si>
  <si>
    <t xml:space="preserve">ESCALA_MOEDA / MOEDA</t>
  </si>
  <si>
    <t xml:space="preserve">MIL / REAL</t>
  </si>
  <si>
    <t xml:space="preserve">Metadado DFP (F0036)</t>
  </si>
  <si>
    <t xml:space="preserve">ID_DOC 154871; DT_RECEB 2026-02-24; CATEG_DOC DFP</t>
  </si>
  <si>
    <t xml:space="preserve">Integridade</t>
  </si>
  <si>
    <t xml:space="preserve">142 linhas ISA no ZIP = 142 linhas no extrato; conteúdo idêntico após decodificação (ZIP latin-1; extrato UTF-8)</t>
  </si>
  <si>
    <t xml:space="preserve">Data da DF/relatório</t>
  </si>
  <si>
    <t xml:space="preserve">Aprovação pelo CA e relatório Deloitte em 24/02/2026 (F0003 p.39 e p.139)</t>
  </si>
  <si>
    <t xml:space="preserve">Reapresentação</t>
  </si>
  <si>
    <t xml:space="preserve">Não identificada para o ativo total: comparativo de F0003 = saldo de F0011</t>
  </si>
  <si>
    <t xml:space="preserve">Conciliação de subtotais (informativa)</t>
  </si>
  <si>
    <t xml:space="preserve">CVM 1.01.03 'Contas a Receber' 4.106.084 = 'Ativos da concessão' circulante do PDF; CVM 1.01.08 514.354 = derivativos 37.384 + partes relacionadas 126.579 + outros 350.391 (diferença de taxonomia, não de valor)</t>
  </si>
  <si>
    <t xml:space="preserve">Script</t>
  </si>
  <si>
    <t xml:space="preserve">99_Trabalho/scripts_B01/b01_verificacoes.py (execução 19/10/2026 22:22 BRT)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</si>
</sst>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9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 filterMode="false">
    <ns0:pageSetUpPr fitToPage="false"/>
  </ns0:sheetPr>
  <ns0:dimension ref="A1:C15"/>
  <ns0:sheetViews>
    <ns0: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zeroHeight="false" outlineLevelRow="0" outlineLevelCol="0"/>
  <ns0:cols>
    <ns0:col collapsed="false" customWidth="true" hidden="false" outlineLevel="0" max="1" min="1" style="0" width="90"/>
    <ns0:col collapsed="false" customWidth="true" hidden="false" outlineLevel="0" max="2" min="2" style="0" width="24"/>
    <ns0:col collapsed="false" customWidth="true" hidden="false" outlineLevel="0" max="3" min="3" style="0" width="30"/>
  </ns0:cols>
  <ns0:sheetData>
    <ns0:row r="1" customFormat="false" ht="15" hidden="false" customHeight="false" outlineLevel="0" collapsed="false">
      <ns0:c r="A1" s="1" t="s">
        <ns0:v>0</ns0:v>
      </ns0:c>
    </ns0:row>
    <ns0:row r="2" customFormat="false" ht="15" hidden="false" customHeight="false" outlineLevel="0" collapsed="false">
      <ns0:c r="A2" s="2" t="s">
        <ns0:v>1</ns0:v>
      </ns0:c>
    </ns0:row>
    <ns0:row r="4" customFormat="false" ht="15" hidden="false" customHeight="false" outlineLevel="0" collapsed="false">
      <ns0:c r="A4" s="3" t="s">
        <ns0:v>2</ns0:v>
      </ns0:c>
      <ns0:c r="B4" s="3" t="s">
        <ns0:v>3</ns0:v>
      </ns0:c>
      <ns0:c r="C4" s="3" t="s">
        <ns0:v>4</ns0:v>
      </ns0:c>
    </ns0:row>
    <ns0:row r="5" customFormat="false" ht="22.35" hidden="false" customHeight="false" outlineLevel="0" collapsed="false">
      <ns0:c r="A5" s="4" t="s">
        <ns0:v>5</ns0:v>
      </ns0:c>
      <ns0:c r="B5" s="5" t="n">
        <ns0:v>47201372</ns0:v>
      </ns0:c>
      <ns0:c r="C5" s="5" t="n">
        <ns0:v>43304632</ns0:v>
      </ns0:c>
    </ns0:row>
    <ns0:row r="6" customFormat="false" ht="22.35" hidden="false" customHeight="false" outlineLevel="0" collapsed="false">
      <ns0:c r="A6" s="4" t="s">
        <ns0:v>6</ns0:v>
      </ns0:c>
      <ns0:c r="B6" s="5" t="n">
        <ns0:v>47201372</ns0:v>
      </ns0:c>
      <ns0:c r="C6" s="5" t="n">
        <ns0:v>43304632</ns0:v>
      </ns0:c>
    </ns0:row>
    <ns0:row r="7" customFormat="false" ht="15" hidden="false" customHeight="false" outlineLevel="0" collapsed="false">
      <ns0:c r="A7" s="4" t="s">
        <ns0:v>7</ns0:v>
      </ns0:c>
      <ns0:c r="B7" s="5" t="n">
        <ns0:v>47201372</ns0:v>
      </ns0:c>
      <ns0:c r="C7" s="5" t="n">
        <ns0:v>43304632</ns0:v>
      </ns0:c>
    </ns0:row>
    <ns0:row r="8" customFormat="false" ht="15" hidden="false" customHeight="false" outlineLevel="0" collapsed="false">
      <ns0:c r="A8" s="4" t="s">
        <ns0:v>8</ns0:v>
      </ns0:c>
      <ns0:c r="B8" s="5"/>
      <ns0:c r="C8" s="5" t="n">
        <ns0:v>43304632</ns0:v>
      </ns0:c>
    </ns0:row>
    <ns0:row r="9" customFormat="false" ht="15" hidden="false" customHeight="false" outlineLevel="0" collapsed="false">
      <ns0:c r="A9" s="4" t="s">
        <ns0:v>9</ns0:v>
      </ns0:c>
      <ns0:c r="B9" s="5" t="n">
        <ns0:v>47201372</ns0:v>
      </ns0:c>
      <ns0:c r="C9" s="5"/>
    </ns0:row>
    <ns0:row r="11" customFormat="false" ht="15" hidden="false" customHeight="false" outlineLevel="0" collapsed="false">
      <ns0:c r="A11" s="6" t="s">
        <ns0:v>10</ns0:v>
      </ns0:c>
      <ns0:c r="B11" s="7">
        <ns0:f aca="false">B5-B6</ns0:f>
        <ns0:v>0</ns0:v>
      </ns0:c>
      <ns0:c r="C11" s="7">
        <ns0:f aca="false">C5-C6</ns0:f>
        <ns0:v>0</ns0:v>
      </ns0:c>
    </ns0:row>
    <ns0:row r="12" customFormat="false" ht="15" hidden="false" customHeight="false" outlineLevel="0" collapsed="false">
      <ns0:c r="A12" s="6" t="s">
        <ns0:v>11</ns0:v>
      </ns0:c>
      <ns0:c r="B12" s="7">
        <ns0:f aca="false">B6-B7</ns0:f>
        <ns0:v>0</ns0:v>
      </ns0:c>
      <ns0:c r="C12" s="7">
        <ns0:f aca="false">C6-C7</ns0:f>
        <ns0:v>0</ns0:v>
      </ns0:c>
    </ns0:row>
    <ns0:row r="13" customFormat="false" ht="15" hidden="false" customHeight="false" outlineLevel="0" collapsed="false">
      <ns0:c r="A13" s="6" t="s">
        <ns0:v>12</ns0:v>
      </ns0:c>
      <ns0:c r="B13" s="7">
        <ns0:f aca="false">B5-B9</ns0:f>
        <ns0:v>0</ns0:v>
      </ns0:c>
      <ns0:c r="C13" s="7"/>
    </ns0:row>
    <ns0:row r="14" customFormat="false" ht="15" hidden="false" customHeight="false" outlineLevel="0" collapsed="false">
      <ns0:c r="A14" s="6" t="s">
        <ns0:v>13</ns0:v>
      </ns0:c>
      <ns0:c r="B14" s="7"/>
      <ns0:c r="C14" s="7">
        <ns0:f aca="false">C5-C8</ns0:f>
        <ns0:v>0</ns0:v>
      </ns0:c>
    </ns0:row>
    <ns0:row r="15" customFormat="false" ht="15" hidden="false" customHeight="false" outlineLevel="0" collapsed="false">
      <ns0:c r="A15" s="6" t="s">
        <ns0:v>14</ns0:v>
      </ns0:c>
      <ns0:c r="B15" s="7" t="str">
        <ns0:f aca="false">IF(AND(B11=0,B12=0,B13=0,C11=0,C12=0,C14=0),"Sem diferenças","Investigar")</ns0:f>
        <ns0:v>Sem diferenças</ns0:v>
      </ns0:c>
      <ns0:c r="C15" s="7"/>
    </ns0:row>
  </ns0:sheetData>
  <ns0:printOptions headings="false" gridLines="false" gridLinesSet="true" horizontalCentered="false" verticalCentered="false"/>
  <ns0:pageMargins left="0.75" right="0.75" top="1" bottom="1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  <ns0:legacyDrawing ns1:id="rId2"/>
</ns0: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6" t="s">
        <v>15</v>
      </c>
      <c r="B1" s="4" t="s">
        <v>16</v>
      </c>
    </row>
    <row r="2" customFormat="false" ht="15" hidden="false" customHeight="false" outlineLevel="0" collapsed="false">
      <c r="A2" s="6" t="s">
        <v>17</v>
      </c>
      <c r="B2" s="4" t="s">
        <v>18</v>
      </c>
    </row>
    <row r="3" customFormat="false" ht="15" hidden="false" customHeight="false" outlineLevel="0" collapsed="false">
      <c r="A3" s="6" t="s">
        <v>19</v>
      </c>
      <c r="B3" s="4" t="s">
        <v>20</v>
      </c>
    </row>
    <row r="4" customFormat="false" ht="15" hidden="false" customHeight="false" outlineLevel="0" collapsed="false">
      <c r="A4" s="6" t="s">
        <v>21</v>
      </c>
      <c r="B4" s="4" t="s">
        <v>22</v>
      </c>
    </row>
    <row r="5" customFormat="false" ht="15" hidden="false" customHeight="false" outlineLevel="0" collapsed="false">
      <c r="A5" s="6" t="s">
        <v>23</v>
      </c>
      <c r="B5" s="4" t="s">
        <v>24</v>
      </c>
    </row>
    <row r="6" customFormat="false" ht="15" hidden="false" customHeight="false" outlineLevel="0" collapsed="false">
      <c r="A6" s="6" t="s">
        <v>25</v>
      </c>
      <c r="B6" s="4" t="s">
        <v>26</v>
      </c>
    </row>
    <row r="7" customFormat="false" ht="15" hidden="false" customHeight="false" outlineLevel="0" collapsed="false">
      <c r="A7" s="6" t="s">
        <v>27</v>
      </c>
      <c r="B7" s="4" t="s">
        <v>28</v>
      </c>
    </row>
    <row r="8" customFormat="false" ht="15" hidden="false" customHeight="false" outlineLevel="0" collapsed="false">
      <c r="A8" s="6" t="s">
        <v>29</v>
      </c>
      <c r="B8" s="4" t="s">
        <v>30</v>
      </c>
    </row>
    <row r="9" customFormat="false" ht="15" hidden="false" customHeight="false" outlineLevel="0" collapsed="false">
      <c r="A9" s="6" t="s">
        <v>31</v>
      </c>
      <c r="B9" s="4" t="s">
        <v>32</v>
      </c>
    </row>
    <row r="10" customFormat="false" ht="15" hidden="false" customHeight="false" outlineLevel="0" collapsed="false">
      <c r="A10" s="6" t="s">
        <v>33</v>
      </c>
      <c r="B10" s="4" t="s">
        <v>34</v>
      </c>
    </row>
    <row r="11" customFormat="false" ht="15" hidden="false" customHeight="false" outlineLevel="0" collapsed="false">
      <c r="A11" s="6" t="s">
        <v>35</v>
      </c>
      <c r="B11" s="4" t="s">
        <v>36</v>
      </c>
    </row>
    <row r="12" customFormat="false" ht="22.35" hidden="false" customHeight="false" outlineLevel="0" collapsed="false">
      <c r="A12" s="6" t="s">
        <v>37</v>
      </c>
      <c r="B12" s="4" t="s">
        <v>38</v>
      </c>
    </row>
    <row r="13" customFormat="false" ht="15" hidden="false" customHeight="false" outlineLevel="0" collapsed="false">
      <c r="A13" s="6" t="s">
        <v>39</v>
      </c>
      <c r="B13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2026-10-20T01:27:56Z</dcterms:created>
  <dc:creator>openpyxl</dc:creator>
  <dc:description/>
  <dc:language>en-US</dc:language>
  <cp:lastModifiedBy/>
  <dcterms:modified xsi:type="dcterms:W3CDTF">2026-10-20T01:27:56Z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