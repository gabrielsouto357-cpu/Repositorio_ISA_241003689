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" sheetId="1" state="visible" r:id="rId3"/>
    <sheet name="Parametros" sheetId="2" state="visible" r:id="rId4"/>
    <sheet name="RevisaoFinal_variacoes" sheetId="3" state="visible" r:id="rId5"/>
    <sheet name="S1_Infra_margem" sheetId="4" state="visible" r:id="rId6"/>
    <sheet name="S2_OEM" sheetId="5" state="visible" r:id="rId7"/>
    <sheet name="S3_Remuneracao" sheetId="6" state="visible" r:id="rId8"/>
    <sheet name="Indicador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<sst xmlns="http://schemas.openxmlformats.org/spreadsheetml/2006/main" count="406" uniqueCount="322">
  <si>
    <t xml:space="preserve">PT 520 – Procedimentos analíticos – ISA Energia Brasil 2025 (dados reais públicos; R$ mil)</t>
  </si>
  <si>
    <t xml:space="preserve">Cada análise indica o USO: Planejamento (NBC TA 315), Substantivo (NBC TA 520 it. 5) ou Revisão final (520 it. 6). Expectativa, precisão e limite definidos ANTES da comparação (colunas à esquerda).</t>
  </si>
  <si>
    <t xml:space="preserve">Explicações: "Documentada" = consta de documento público com página (RA não é auditado: indicado); "Hipótese" = não documentada.</t>
  </si>
  <si>
    <t xml:space="preserve">Células amarelas = dados transcritos (fonte e página na coluna própria) ou premissas; demais = fórmulas.</t>
  </si>
  <si>
    <t xml:space="preserve">Preparado por: matrícula 241003689 (execução assistida por IA) em 21/10/2026. Revisão humana: ____________ (em branco).</t>
  </si>
  <si>
    <t xml:space="preserve">Parâmetro</t>
  </si>
  <si>
    <t xml:space="preserve">Valor</t>
  </si>
  <si>
    <t xml:space="preserve">Fonte / julgamento</t>
  </si>
  <si>
    <t xml:space="preserve">MG</t>
  </si>
  <si>
    <t xml:space="preserve">D-014</t>
  </si>
  <si>
    <t xml:space="preserve">ME</t>
  </si>
  <si>
    <t xml:space="preserve">CT</t>
  </si>
  <si>
    <t xml:space="preserve">Limite de investigação – substantivo (50% da ME)</t>
  </si>
  <si>
    <t xml:space="preserve">Julgamento: diferença aceitável sem exame adicional (520 it. 5(d), A16) – metade da ME por haver outras fontes de distorção na conta</t>
  </si>
  <si>
    <t xml:space="preserve">Limite – revisão final: |variação| ≥ ME e ≥ 10%</t>
  </si>
  <si>
    <t xml:space="preserve">Julgamento (520 it. 6)</t>
  </si>
  <si>
    <t xml:space="preserve">Cód.</t>
  </si>
  <si>
    <t xml:space="preserve">Linha (consolidado)</t>
  </si>
  <si>
    <t xml:space="preserve">2025</t>
  </si>
  <si>
    <t xml:space="preserve">2024</t>
  </si>
  <si>
    <t xml:space="preserve">Variação</t>
  </si>
  <si>
    <t xml:space="preserve">Var. %</t>
  </si>
  <si>
    <t xml:space="preserve">Sinalizada?</t>
  </si>
  <si>
    <t xml:space="preserve">Explicação</t>
  </si>
  <si>
    <t xml:space="preserve">Tipo</t>
  </si>
  <si>
    <t xml:space="preserve">Fonte</t>
  </si>
  <si>
    <t xml:space="preserve">A01</t>
  </si>
  <si>
    <t xml:space="preserve">Caixa e equivalentes de caixa</t>
  </si>
  <si>
    <t xml:space="preserve">Caixa reduzido; aplicações e investimentos em obras e dividendos pagos (DFC)</t>
  </si>
  <si>
    <t xml:space="preserve">Documentada</t>
  </si>
  <si>
    <t xml:space="preserve">F0003 p.27 (DFC)</t>
  </si>
  <si>
    <t xml:space="preserve">A02</t>
  </si>
  <si>
    <t xml:space="preserve">Aplicações financeiras</t>
  </si>
  <si>
    <t xml:space="preserve">Aumento de aplicações financeiras (composição na nota 6.5; motivo: caixa de emissões de 2025 – RA)</t>
  </si>
  <si>
    <t xml:space="preserve">Documentada (RA)</t>
  </si>
  <si>
    <t xml:space="preserve">F0003 nota 6.5; p.13</t>
  </si>
  <si>
    <t xml:space="preserve">A03</t>
  </si>
  <si>
    <t xml:space="preserve">Ativos da concessão (circulante)</t>
  </si>
  <si>
    <t xml:space="preserve">Circulante da concessão acompanha recebimentos dos 12 meses seguintes; aumento da RAP (REH 3.481)</t>
  </si>
  <si>
    <t xml:space="preserve">Hipótese parcial</t>
  </si>
  <si>
    <t xml:space="preserve">F0003 p.45, 101</t>
  </si>
  <si>
    <t xml:space="preserve">A04</t>
  </si>
  <si>
    <t xml:space="preserve">Estoques (circulante)</t>
  </si>
  <si>
    <t xml:space="preserve">A05</t>
  </si>
  <si>
    <t xml:space="preserve">Tributos e contribuições a compensar</t>
  </si>
  <si>
    <t xml:space="preserve">Compensação de tributos</t>
  </si>
  <si>
    <t xml:space="preserve">Hipótese</t>
  </si>
  <si>
    <t xml:space="preserve">—</t>
  </si>
  <si>
    <t xml:space="preserve">A06</t>
  </si>
  <si>
    <t xml:space="preserve">Instrumentos financeiros derivativos (circulante)</t>
  </si>
  <si>
    <t xml:space="preserve">A07</t>
  </si>
  <si>
    <t xml:space="preserve">Créditos com partes relacionadas</t>
  </si>
  <si>
    <t xml:space="preserve">A08</t>
  </si>
  <si>
    <t xml:space="preserve">Outros (circulante)</t>
  </si>
  <si>
    <t xml:space="preserve">Outros ativos circulantes – composição não detalhada no BP</t>
  </si>
  <si>
    <t xml:space="preserve">A09</t>
  </si>
  <si>
    <t xml:space="preserve">Total do ativo circulante</t>
  </si>
  <si>
    <t xml:space="preserve">Subtotal – variação explicada pelas linhas componentes</t>
  </si>
  <si>
    <t xml:space="preserve">Subtotal</t>
  </si>
  <si>
    <t xml:space="preserve">A10</t>
  </si>
  <si>
    <t xml:space="preserve">Ativos da concessão (realizável a LP)</t>
  </si>
  <si>
    <t xml:space="preserve">Receita de infraestrutura 6.330.048 e remuneração (rollforward 5.5)</t>
  </si>
  <si>
    <t xml:space="preserve">F0003 p.47</t>
  </si>
  <si>
    <t xml:space="preserve">A11</t>
  </si>
  <si>
    <t xml:space="preserve">Valores a receber - Secretaria da Fazenda</t>
  </si>
  <si>
    <t xml:space="preserve">Atualização do recebível SEFAZ (Lei 4.819/58)</t>
  </si>
  <si>
    <t xml:space="preserve">F0003 nota 9.2 (p.69–72)</t>
  </si>
  <si>
    <t xml:space="preserve">A12</t>
  </si>
  <si>
    <t xml:space="preserve">Cauções e depósitos vinculados</t>
  </si>
  <si>
    <t xml:space="preserve">A13</t>
  </si>
  <si>
    <t xml:space="preserve">Estoques (realizável a LP)</t>
  </si>
  <si>
    <t xml:space="preserve">A14</t>
  </si>
  <si>
    <t xml:space="preserve">Instrumentos financeiros derivativos (LP)</t>
  </si>
  <si>
    <t xml:space="preserve">A15</t>
  </si>
  <si>
    <t xml:space="preserve">Outros (realizável a LP)</t>
  </si>
  <si>
    <t xml:space="preserve">A16</t>
  </si>
  <si>
    <t xml:space="preserve">Total do realizável a longo prazo</t>
  </si>
  <si>
    <t xml:space="preserve">A17</t>
  </si>
  <si>
    <t xml:space="preserve">Investimentos</t>
  </si>
  <si>
    <t xml:space="preserve">Equivalência 511.049 menos dividendos/JCP de JVs</t>
  </si>
  <si>
    <t xml:space="preserve">F0003 p.23, 25, nota 7</t>
  </si>
  <si>
    <t xml:space="preserve">A18</t>
  </si>
  <si>
    <t xml:space="preserve">Imobilizado</t>
  </si>
  <si>
    <t xml:space="preserve">A19</t>
  </si>
  <si>
    <t xml:space="preserve">Intangível</t>
  </si>
  <si>
    <t xml:space="preserve">A20</t>
  </si>
  <si>
    <t xml:space="preserve">Subtotal investimentos, imobilizado e intangível</t>
  </si>
  <si>
    <t xml:space="preserve">A21</t>
  </si>
  <si>
    <t xml:space="preserve">Total do ativo não circulante</t>
  </si>
  <si>
    <t xml:space="preserve">A22</t>
  </si>
  <si>
    <t xml:space="preserve">Total do ativo</t>
  </si>
  <si>
    <t xml:space="preserve">P01</t>
  </si>
  <si>
    <t xml:space="preserve">Empréstimos e financiamentos (circulante)</t>
  </si>
  <si>
    <t xml:space="preserve">P02</t>
  </si>
  <si>
    <t xml:space="preserve">Debêntures (circulante)</t>
  </si>
  <si>
    <t xml:space="preserve">Amortização de debêntures no circulante</t>
  </si>
  <si>
    <t xml:space="preserve">F0003 nota 6.1</t>
  </si>
  <si>
    <t xml:space="preserve">P03</t>
  </si>
  <si>
    <t xml:space="preserve">Arrendamento (circulante)</t>
  </si>
  <si>
    <t xml:space="preserve">P04</t>
  </si>
  <si>
    <t xml:space="preserve">Fornecedores</t>
  </si>
  <si>
    <t xml:space="preserve">P05</t>
  </si>
  <si>
    <t xml:space="preserve">Tributos e encargos sociais a recolher</t>
  </si>
  <si>
    <t xml:space="preserve">P06</t>
  </si>
  <si>
    <t xml:space="preserve">Encargos regulatórios a recolher (circulante)</t>
  </si>
  <si>
    <t xml:space="preserve">P07</t>
  </si>
  <si>
    <t xml:space="preserve">Juros sobre capital próprio e dividendos a pagar</t>
  </si>
  <si>
    <t xml:space="preserve">Pagamento de JCP/dividendos de 2024 (1.329.622)</t>
  </si>
  <si>
    <t xml:space="preserve">F0003 nota 15.2.2</t>
  </si>
  <si>
    <t xml:space="preserve">P08</t>
  </si>
  <si>
    <t xml:space="preserve">Obrigações trabalhistas</t>
  </si>
  <si>
    <t xml:space="preserve">P09</t>
  </si>
  <si>
    <t xml:space="preserve">P10</t>
  </si>
  <si>
    <t xml:space="preserve">Provisões - Capex</t>
  </si>
  <si>
    <t xml:space="preserve">P11</t>
  </si>
  <si>
    <t xml:space="preserve">P12</t>
  </si>
  <si>
    <t xml:space="preserve">Total do passivo circulante</t>
  </si>
  <si>
    <t xml:space="preserve">P13</t>
  </si>
  <si>
    <t xml:space="preserve">Empréstimos e financiamentos (não circulante)</t>
  </si>
  <si>
    <t xml:space="preserve">P14</t>
  </si>
  <si>
    <t xml:space="preserve">Debêntures (não circulante)</t>
  </si>
  <si>
    <t xml:space="preserve">Emissões das 18ª, 19ª e 20ª debêntures em 2025</t>
  </si>
  <si>
    <t xml:space="preserve">F0003 p.13</t>
  </si>
  <si>
    <t xml:space="preserve">P15</t>
  </si>
  <si>
    <t xml:space="preserve">Arrendamento (não circulante)</t>
  </si>
  <si>
    <t xml:space="preserve">P16</t>
  </si>
  <si>
    <t xml:space="preserve">PIS e COFINS diferidos</t>
  </si>
  <si>
    <t xml:space="preserve">PIS/COFINS diferidos acompanham receita de infraestrutura e remuneração</t>
  </si>
  <si>
    <t xml:space="preserve">F0003 p.44</t>
  </si>
  <si>
    <t xml:space="preserve">P17</t>
  </si>
  <si>
    <t xml:space="preserve">Imposto de renda e contribuição social diferidos</t>
  </si>
  <si>
    <t xml:space="preserve">P18</t>
  </si>
  <si>
    <t xml:space="preserve">Encargos regulatórios a recolher (não circulante)</t>
  </si>
  <si>
    <t xml:space="preserve">P19</t>
  </si>
  <si>
    <t xml:space="preserve">Provisões (não circulante)</t>
  </si>
  <si>
    <t xml:space="preserve">P20</t>
  </si>
  <si>
    <t xml:space="preserve">Instrumentos financeiros derivativos (não circulante)</t>
  </si>
  <si>
    <t xml:space="preserve">P21</t>
  </si>
  <si>
    <t xml:space="preserve">Outros (não circulante)</t>
  </si>
  <si>
    <t xml:space="preserve">P22</t>
  </si>
  <si>
    <t xml:space="preserve">Total do passivo não circulante</t>
  </si>
  <si>
    <t xml:space="preserve">P23</t>
  </si>
  <si>
    <t xml:space="preserve">Capital social</t>
  </si>
  <si>
    <t xml:space="preserve">P24</t>
  </si>
  <si>
    <t xml:space="preserve">Reservas de capital</t>
  </si>
  <si>
    <t xml:space="preserve">P25</t>
  </si>
  <si>
    <t xml:space="preserve">Reservas e retenção de lucros</t>
  </si>
  <si>
    <t xml:space="preserve">Lucro retido do exercício</t>
  </si>
  <si>
    <t xml:space="preserve">DMPL F0003 p.26</t>
  </si>
  <si>
    <t xml:space="preserve">P26</t>
  </si>
  <si>
    <t xml:space="preserve">Dividendos adicionais propostos</t>
  </si>
  <si>
    <t xml:space="preserve">Dividendos adicionais propostos (nota 15.2.2)</t>
  </si>
  <si>
    <t xml:space="preserve">P27</t>
  </si>
  <si>
    <t xml:space="preserve">Outros resultados abrangentes</t>
  </si>
  <si>
    <t xml:space="preserve">P28</t>
  </si>
  <si>
    <t xml:space="preserve">Patrimônio líquido atribuível aos controladores</t>
  </si>
  <si>
    <t xml:space="preserve">P29</t>
  </si>
  <si>
    <t xml:space="preserve">Participação de não controladores nos fundos de investimentos</t>
  </si>
  <si>
    <t xml:space="preserve">P30</t>
  </si>
  <si>
    <t xml:space="preserve">Total do patrimônio líquido</t>
  </si>
  <si>
    <t xml:space="preserve">P31</t>
  </si>
  <si>
    <t xml:space="preserve">Total do passivo e do patrimônio líquido</t>
  </si>
  <si>
    <t xml:space="preserve">R01</t>
  </si>
  <si>
    <t xml:space="preserve">Receita operacional líquida</t>
  </si>
  <si>
    <t xml:space="preserve">Receita de infraestrutura +1.868.181 (projetos Piraquê, Serra Dourada, Itatiaia)</t>
  </si>
  <si>
    <t xml:space="preserve">F0003 p.9</t>
  </si>
  <si>
    <t xml:space="preserve">R02</t>
  </si>
  <si>
    <t xml:space="preserve">Receita de infraestrutura, O&amp;M, ganho de eficiência e outras, líquidas</t>
  </si>
  <si>
    <t xml:space="preserve">Infraestrutura + O&amp;M + eficiência</t>
  </si>
  <si>
    <t xml:space="preserve">F0003 p.9–10</t>
  </si>
  <si>
    <t xml:space="preserve">R03</t>
  </si>
  <si>
    <t xml:space="preserve">Remuneração dos ativos da concessão, líquida</t>
  </si>
  <si>
    <t xml:space="preserve">R04</t>
  </si>
  <si>
    <t xml:space="preserve">Custos dos serviços de implementação, O&amp;M e serviços prestados</t>
  </si>
  <si>
    <t xml:space="preserve">Custos de implementação 5.092.819 (3.634.525 em 2024)</t>
  </si>
  <si>
    <t xml:space="preserve">F0003 p.100</t>
  </si>
  <si>
    <t xml:space="preserve">R05</t>
  </si>
  <si>
    <t xml:space="preserve">Lucro bruto</t>
  </si>
  <si>
    <t xml:space="preserve">R06</t>
  </si>
  <si>
    <t xml:space="preserve">Receitas – Revisão Tarifária Periódica, líquidas</t>
  </si>
  <si>
    <t xml:space="preserve">RTP 2024 (REH 3.344: +1.128.220) sem equivalente em 2025</t>
  </si>
  <si>
    <t xml:space="preserve">F0003 p.12–13</t>
  </si>
  <si>
    <t xml:space="preserve">R07</t>
  </si>
  <si>
    <t xml:space="preserve">Gerais e administrativas</t>
  </si>
  <si>
    <t xml:space="preserve">Redução de despesas gerais – não detalhada</t>
  </si>
  <si>
    <t xml:space="preserve">R08</t>
  </si>
  <si>
    <t xml:space="preserve">Honorários da administração</t>
  </si>
  <si>
    <t xml:space="preserve">R09</t>
  </si>
  <si>
    <t xml:space="preserve">Outras receitas (despesas) operacionais, líquidas</t>
  </si>
  <si>
    <t xml:space="preserve">R10</t>
  </si>
  <si>
    <t xml:space="preserve">Resultado de equivalência patrimonial</t>
  </si>
  <si>
    <t xml:space="preserve">R11</t>
  </si>
  <si>
    <t xml:space="preserve">Total receitas (despesas) operacionais</t>
  </si>
  <si>
    <t xml:space="preserve">R12</t>
  </si>
  <si>
    <t xml:space="preserve">Lucro antes do resultado financeiro e dos impostos</t>
  </si>
  <si>
    <t xml:space="preserve">Queda de RTP e efeito REH 3.466 (−898.790) na remuneração</t>
  </si>
  <si>
    <t xml:space="preserve">F0003 p.9, 13</t>
  </si>
  <si>
    <t xml:space="preserve">R13</t>
  </si>
  <si>
    <t xml:space="preserve">Receitas financeiras</t>
  </si>
  <si>
    <t xml:space="preserve">Maior volume de aplicações e CDI de 14,26%</t>
  </si>
  <si>
    <t xml:space="preserve">R14</t>
  </si>
  <si>
    <t xml:space="preserve">Despesas financeiras</t>
  </si>
  <si>
    <t xml:space="preserve">CDI 14,26% (10,83% em 2024) e aumento da dívida</t>
  </si>
  <si>
    <t xml:space="preserve">R15</t>
  </si>
  <si>
    <t xml:space="preserve">Resultado financeiro</t>
  </si>
  <si>
    <t xml:space="preserve">Idem R14</t>
  </si>
  <si>
    <t xml:space="preserve">R16</t>
  </si>
  <si>
    <t xml:space="preserve">Lucro antes do IR e da CS</t>
  </si>
  <si>
    <t xml:space="preserve">Combinação de R06, R12 e R14</t>
  </si>
  <si>
    <t xml:space="preserve">F0003 p.9–13</t>
  </si>
  <si>
    <t xml:space="preserve">R17</t>
  </si>
  <si>
    <t xml:space="preserve">IR e CS correntes</t>
  </si>
  <si>
    <t xml:space="preserve">R18</t>
  </si>
  <si>
    <t xml:space="preserve">IR e CS diferidos</t>
  </si>
  <si>
    <t xml:space="preserve">Menor diferido por menor lucro/receitas diferidas</t>
  </si>
  <si>
    <t xml:space="preserve">R19</t>
  </si>
  <si>
    <t xml:space="preserve">Total IR e CS</t>
  </si>
  <si>
    <t xml:space="preserve">R20</t>
  </si>
  <si>
    <t xml:space="preserve">Lucro líquido do exercício</t>
  </si>
  <si>
    <t xml:space="preserve">Idem R16</t>
  </si>
  <si>
    <t xml:space="preserve">R21</t>
  </si>
  <si>
    <t xml:space="preserve">Atribuível aos acionistas controladores</t>
  </si>
  <si>
    <t xml:space="preserve">Idem R20</t>
  </si>
  <si>
    <t xml:space="preserve">R22</t>
  </si>
  <si>
    <t xml:space="preserve">Atribuível aos acionistas não controladores</t>
  </si>
  <si>
    <t xml:space="preserve">Linhas sinalizadas</t>
  </si>
  <si>
    <t xml:space="preserve">Sinalizadas sem explicação documentada</t>
  </si>
  <si>
    <t xml:space="preserve">Elemento</t>
  </si>
  <si>
    <t xml:space="preserve">Fonte / fórmula</t>
  </si>
  <si>
    <t xml:space="preserve">USO: procedimento analítico SUBSTANTIVO (R02 exatidão/ocorrência) – complementa testes de detalhe (PT 530 [SD]); dados auditados pelo antecessor/DF publicada</t>
  </si>
  <si>
    <t xml:space="preserve">520 it. 5(a)</t>
  </si>
  <si>
    <t xml:space="preserve">Custo de implementação 2025</t>
  </si>
  <si>
    <t xml:space="preserve">F0003 p.100 (16.4)</t>
  </si>
  <si>
    <t xml:space="preserve">Receita de infraestrutura 2024</t>
  </si>
  <si>
    <t xml:space="preserve">Custo de implementação 2024</t>
  </si>
  <si>
    <t xml:space="preserve">Margem 2024 sobre custo = B4/B5 − 1</t>
  </si>
  <si>
    <t xml:space="preserve">Expectativa: margem estável sobre custo</t>
  </si>
  <si>
    <t xml:space="preserve">EXPECTATIVA receita 2025 = custo 2025 × (1 + margem 2024)</t>
  </si>
  <si>
    <t xml:space="preserve">520 it. 5(c)</t>
  </si>
  <si>
    <t xml:space="preserve">Receita de infraestrutura 2025 registrada</t>
  </si>
  <si>
    <t xml:space="preserve">F0003 p.47, 100</t>
  </si>
  <si>
    <t xml:space="preserve">Diferença = registrado − esperado</t>
  </si>
  <si>
    <t xml:space="preserve">Limite de investigação</t>
  </si>
  <si>
    <t xml:space="preserve">520 it. 5(d)</t>
  </si>
  <si>
    <t xml:space="preserve">Investigar?</t>
  </si>
  <si>
    <t xml:space="preserve">520 it. 7</t>
  </si>
  <si>
    <t xml:space="preserve">Precisão: margem por projeto varia (F0003 p.100: "margem estimada para cada projeto"); mix de projetos novos muda a média</t>
  </si>
  <si>
    <t xml:space="preserve">Avaliação it. 5(c): precisão MODERADA</t>
  </si>
  <si>
    <t xml:space="preserve">Explicação documentada</t>
  </si>
  <si>
    <t xml:space="preserve">Margem percebida 19,55% (2025) × 18,54% (2024) sobre receita; mix com Piraquê, Serra Dourada, Itatiaia</t>
  </si>
  <si>
    <t xml:space="preserve">F0003 p.9, 100 – documentada (nota 16.4 auditada)</t>
  </si>
  <si>
    <t xml:space="preserve">Margem 2025 sobre custo</t>
  </si>
  <si>
    <t xml:space="preserve">Diferença explicada pela mudança de margem = custo × (margem25 − margem24)</t>
  </si>
  <si>
    <t xml:space="preserve">Deve igualar B9</t>
  </si>
  <si>
    <t xml:space="preserve">Resíduo (zero por identidade algébrica: a ponte só reexpressa a diferença como mudança de margem; NÃO é evidência independente da margem)</t>
  </si>
  <si>
    <t xml:space="preserve">Margens por projeto exigem evidência de projeto [PA]; ver PT 530 TD-01 R2 [SD]</t>
  </si>
  <si>
    <t xml:space="preserve">USO: SUBSTANTIVO (R03/O&amp;M exatidão) – expectativa a partir da RAP</t>
  </si>
  <si>
    <t xml:space="preserve">Receita de O&amp;M 2024</t>
  </si>
  <si>
    <t xml:space="preserve">RAP total ciclo 2024/25 (Total 2024 da tabela)</t>
  </si>
  <si>
    <t xml:space="preserve">F0003 p.101</t>
  </si>
  <si>
    <t xml:space="preserve">RAP total ciclo 2025/26</t>
  </si>
  <si>
    <t xml:space="preserve">Fator RAP médio do ano civil 2025 = (½ ciclo 24/25 + ½ ciclo 25/26) / RAP 24/25 médio do ano civil 2024 (aprox.)</t>
  </si>
  <si>
    <t xml:space="preserve">Julgamento: RAP de jul–jun; 2024 tratado como ciclo 24/25 (simplificação)</t>
  </si>
  <si>
    <t xml:space="preserve">EXPECTATIVA O&amp;M 2025 = O&amp;M 2024 × fator</t>
  </si>
  <si>
    <t xml:space="preserve">Registrado 2025</t>
  </si>
  <si>
    <t xml:space="preserve">Diferença</t>
  </si>
  <si>
    <t xml:space="preserve">Limite</t>
  </si>
  <si>
    <t xml:space="preserve">Explicação documentada (RA, não auditado): (i) redução de parcela de ajuste e antecipações −129.508; (ii) RTP 2024 – repasse de eficiência + IPCA −288; (iii) encargos e PV +30.844</t>
  </si>
  <si>
    <t xml:space="preserve">F0003 p.10</t>
  </si>
  <si>
    <t xml:space="preserve">Variação real 2025 − 2024</t>
  </si>
  <si>
    <t xml:space="preserve">Deve igualar B12</t>
  </si>
  <si>
    <t xml:space="preserve">Ponte da administração fecha?</t>
  </si>
  <si>
    <t xml:space="preserve">Conclusão: expectativa por RAP NÃO é precisa (parcela de ajuste é volátil e a RAP inclui remuneração de ativos); serve para PLANEJAMENTO, não como substantivo</t>
  </si>
  <si>
    <t xml:space="preserve">520 it. 5(c) e A15</t>
  </si>
  <si>
    <t xml:space="preserve">USO: SUBSTANTIVO pretendido (R01) – avaliar se a expectativa é precisa</t>
  </si>
  <si>
    <t xml:space="preserve">Ativo contratual 31/12/2023</t>
  </si>
  <si>
    <t xml:space="preserve">F0011 p.44</t>
  </si>
  <si>
    <t xml:space="preserve">Ativo contratual 31/12/2024</t>
  </si>
  <si>
    <t xml:space="preserve">F0003 p.45</t>
  </si>
  <si>
    <t xml:space="preserve">Ativo contratual 31/12/2025</t>
  </si>
  <si>
    <t xml:space="preserve">Remuneração 2024</t>
  </si>
  <si>
    <t xml:space="preserve">Remuneração 2025 publicada</t>
  </si>
  <si>
    <t xml:space="preserve">Efeito REH 3.466/2025 (item não recorrente)</t>
  </si>
  <si>
    <t xml:space="preserve">F0003 p.9, 46</t>
  </si>
  <si>
    <t xml:space="preserve">Remuneração 2025 sem REH</t>
  </si>
  <si>
    <t xml:space="preserve">Rendimento efetivo 2024 = rem / saldo médio</t>
  </si>
  <si>
    <t xml:space="preserve">EXPECTATIVA 2025 = rendimento 2024 × saldo médio 2025</t>
  </si>
  <si>
    <t xml:space="preserve">Diferença (sem REH) = B9 − B11</t>
  </si>
  <si>
    <t xml:space="preserve">Ponte da administração (RA): taxa implícita +241.090; WACC (Despacho 882/2025) +229.917; VNR +167.705; reajuste 25/26 +160.812; IPCA +19.932; REH −898.790</t>
  </si>
  <si>
    <t xml:space="preserve">F0003 p.9 (RA)</t>
  </si>
  <si>
    <t xml:space="preserve">Ponte fecha?</t>
  </si>
  <si>
    <t xml:space="preserve">Sensibilidade da expectativa: ±0,5 p.p. no rendimento × saldo médio</t>
  </si>
  <si>
    <t xml:space="preserve">Precisão: 0,5 p.p. ≈ 168 mil &gt; limite → expectativa NÃO suficientemente precisa (520 it. 5(c))</t>
  </si>
  <si>
    <t xml:space="preserve">Conclusão: uso como análise de PLANEJAMENTO/indicador; evidência substantiva vem do recálculo por contrato (PT 530 TD-05 [SD]; real [PA]) e do PT 540</t>
  </si>
  <si>
    <t xml:space="preserve">Indicador</t>
  </si>
  <si>
    <t xml:space="preserve">Fórmula</t>
  </si>
  <si>
    <t xml:space="preserve">Uso</t>
  </si>
  <si>
    <t xml:space="preserve">Leitura</t>
  </si>
  <si>
    <t xml:space="preserve">Margem de implementação (F0003 16.4)</t>
  </si>
  <si>
    <t xml:space="preserve">1 − custo/receita</t>
  </si>
  <si>
    <t xml:space="preserve">Planejamento</t>
  </si>
  <si>
    <t xml:space="preserve">Estável (19,6% × 18,5%)</t>
  </si>
  <si>
    <t xml:space="preserve">Margem de O&amp;M</t>
  </si>
  <si>
    <t xml:space="preserve">1 − custo/receita O&amp;M</t>
  </si>
  <si>
    <t xml:space="preserve">Queda de ~5 p.p. – receita caiu, custo subiu</t>
  </si>
  <si>
    <t xml:space="preserve">PIS+COFINS / receita bruta</t>
  </si>
  <si>
    <t xml:space="preserve">F0003 p.99</t>
  </si>
  <si>
    <t xml:space="preserve">Revisão final</t>
  </si>
  <si>
    <t xml:space="preserve">Coerente com regime misto</t>
  </si>
  <si>
    <t xml:space="preserve">Encargos regulatórios / receita bruta</t>
  </si>
  <si>
    <t xml:space="preserve">Estável</t>
  </si>
  <si>
    <t xml:space="preserve">Dívida bruta (P01+P02+P13+P14)</t>
  </si>
  <si>
    <t xml:space="preserve">BP p.24</t>
  </si>
  <si>
    <t xml:space="preserve">Custo aparente da dívida = desp. financeiras / dívida média</t>
  </si>
  <si>
    <t xml:space="preserve">Inclui encargos e variação monetária</t>
  </si>
  <si>
    <t xml:space="preserve">CDI 14,26% e IPCA 4,46% (F0003 p.13) – coerente com dívida indexada a CDI e IPCA</t>
  </si>
  <si>
    <t xml:space="preserve">Lucro líquido / receita líquida</t>
  </si>
  <si>
    <t xml:space="preserve">DRE p.25</t>
  </si>
  <si>
    <t xml:space="preserve">Queda explicada por RTP 2024 e REH 3.466</t>
  </si>
  <si>
    <t xml:space="preserve">Equivalência / investimentos médios</t>
  </si>
  <si>
    <t xml:space="preserve">p.23, 25</t>
  </si>
  <si>
    <t xml:space="preserve">Retorno das JVs ~12%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</si>
</sst>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-#,##0"/>
    <numFmt numFmtId="166" formatCode="0.0%"/>
    <numFmt numFmtId="167" formatCode="0.00%"/>
    <numFmt numFmtId="168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5</v>
      </c>
      <c r="B1" s="3" t="s">
        <v>6</v>
      </c>
      <c r="C1" s="3" t="s">
        <v>7</v>
      </c>
    </row>
    <row r="2" customFormat="false" ht="15" hidden="false" customHeight="false" outlineLevel="0" collapsed="false">
      <c r="A2" s="4" t="s">
        <v>8</v>
      </c>
      <c r="B2" s="5" t="n">
        <v>139000</v>
      </c>
      <c r="C2" s="4" t="s">
        <v>9</v>
      </c>
    </row>
    <row r="3" customFormat="false" ht="15" hidden="false" customHeight="false" outlineLevel="0" collapsed="false">
      <c r="A3" s="4" t="s">
        <v>10</v>
      </c>
      <c r="B3" s="5" t="n">
        <v>90000</v>
      </c>
      <c r="C3" s="4" t="s">
        <v>9</v>
      </c>
    </row>
    <row r="4" customFormat="false" ht="15" hidden="false" customHeight="false" outlineLevel="0" collapsed="false">
      <c r="A4" s="4" t="s">
        <v>11</v>
      </c>
      <c r="B4" s="5" t="n">
        <v>7000</v>
      </c>
      <c r="C4" s="4" t="s">
        <v>9</v>
      </c>
    </row>
    <row r="5" customFormat="false" ht="28.35" hidden="false" customHeight="false" outlineLevel="0" collapsed="false">
      <c r="A5" s="4" t="s">
        <v>12</v>
      </c>
      <c r="B5" s="6" t="n">
        <f aca="false">B3*0.5</f>
        <v>45000</v>
      </c>
      <c r="C5" s="4" t="s">
        <v>13</v>
      </c>
    </row>
    <row r="6" customFormat="false" ht="15" hidden="false" customHeight="false" outlineLevel="0" collapsed="false">
      <c r="A6" s="4" t="s">
        <v>14</v>
      </c>
      <c r="B6" s="6" t="n">
        <f aca="false">B3</f>
        <v>90000</v>
      </c>
      <c r="C6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70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8.3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customFormat="false" ht="28.35" hidden="false" customHeight="false" outlineLevel="0" collapsed="false">
      <c r="A2" s="4" t="s">
        <v>26</v>
      </c>
      <c r="B2" s="4" t="s">
        <v>27</v>
      </c>
      <c r="C2" s="5" t="n">
        <v>1356062</v>
      </c>
      <c r="D2" s="5" t="n">
        <v>2914747</v>
      </c>
      <c r="E2" s="6" t="n">
        <f aca="false">C2-D2</f>
        <v>-1558685</v>
      </c>
      <c r="F2" s="7" t="n">
        <f aca="false">IF(D2=0,"",E2/ABS(D2))</f>
        <v>-0.534758248314519</v>
      </c>
      <c r="G2" s="4" t="str">
        <f aca="false">IF(AND(ABS(E2)&gt;=Parametros!$B$6,OR(D2=0,ABS(N(F2))&gt;=0.1)),"SIM","não")</f>
        <v>SIM</v>
      </c>
      <c r="H2" s="4" t="s">
        <v>28</v>
      </c>
      <c r="I2" s="4" t="s">
        <v>29</v>
      </c>
      <c r="J2" s="4" t="s">
        <v>30</v>
      </c>
    </row>
    <row r="3" customFormat="false" ht="28.35" hidden="false" customHeight="false" outlineLevel="0" collapsed="false">
      <c r="A3" s="4" t="s">
        <v>31</v>
      </c>
      <c r="B3" s="4" t="s">
        <v>32</v>
      </c>
      <c r="C3" s="5" t="n">
        <v>808924</v>
      </c>
      <c r="D3" s="5" t="n">
        <v>485995</v>
      </c>
      <c r="E3" s="6" t="n">
        <f aca="false">C3-D3</f>
        <v>322929</v>
      </c>
      <c r="F3" s="7" t="n">
        <f aca="false">IF(D3=0,"",E3/ABS(D3))</f>
        <v>0.664469799072007</v>
      </c>
      <c r="G3" s="4" t="str">
        <f aca="false">IF(AND(ABS(E3)&gt;=Parametros!$B$6,OR(D3=0,ABS(N(F3))&gt;=0.1)),"SIM","não")</f>
        <v>SIM</v>
      </c>
      <c r="H3" s="4" t="s">
        <v>33</v>
      </c>
      <c r="I3" s="4" t="s">
        <v>34</v>
      </c>
      <c r="J3" s="4" t="s">
        <v>35</v>
      </c>
    </row>
    <row r="4" customFormat="false" ht="28.35" hidden="false" customHeight="false" outlineLevel="0" collapsed="false">
      <c r="A4" s="4" t="s">
        <v>36</v>
      </c>
      <c r="B4" s="4" t="s">
        <v>37</v>
      </c>
      <c r="C4" s="5" t="n">
        <v>4106084</v>
      </c>
      <c r="D4" s="5" t="n">
        <v>3604640</v>
      </c>
      <c r="E4" s="6" t="n">
        <f aca="false">C4-D4</f>
        <v>501444</v>
      </c>
      <c r="F4" s="7" t="n">
        <f aca="false">IF(D4=0,"",E4/ABS(D4))</f>
        <v>0.139110701762173</v>
      </c>
      <c r="G4" s="4" t="str">
        <f aca="false">IF(AND(ABS(E4)&gt;=Parametros!$B$6,OR(D4=0,ABS(N(F4))&gt;=0.1)),"SIM","não")</f>
        <v>SIM</v>
      </c>
      <c r="H4" s="4" t="s">
        <v>38</v>
      </c>
      <c r="I4" s="4" t="s">
        <v>39</v>
      </c>
      <c r="J4" s="4" t="s">
        <v>40</v>
      </c>
    </row>
    <row r="5" customFormat="false" ht="15" hidden="false" customHeight="false" outlineLevel="0" collapsed="false">
      <c r="A5" s="4" t="s">
        <v>41</v>
      </c>
      <c r="B5" s="4" t="s">
        <v>42</v>
      </c>
      <c r="C5" s="5" t="n">
        <v>72704</v>
      </c>
      <c r="D5" s="5" t="n">
        <v>94384</v>
      </c>
      <c r="E5" s="6" t="n">
        <f aca="false">C5-D5</f>
        <v>-21680</v>
      </c>
      <c r="F5" s="7" t="n">
        <f aca="false">IF(D5=0,"",E5/ABS(D5))</f>
        <v>-0.229699949143923</v>
      </c>
      <c r="G5" s="4" t="str">
        <f aca="false">IF(AND(ABS(E5)&gt;=Parametros!$B$6,OR(D5=0,ABS(N(F5))&gt;=0.1)),"SIM","não")</f>
        <v>não</v>
      </c>
      <c r="H5" s="4"/>
      <c r="I5" s="4"/>
      <c r="J5" s="4"/>
    </row>
    <row r="6" customFormat="false" ht="15" hidden="false" customHeight="false" outlineLevel="0" collapsed="false">
      <c r="A6" s="4" t="s">
        <v>43</v>
      </c>
      <c r="B6" s="4" t="s">
        <v>44</v>
      </c>
      <c r="C6" s="5" t="n">
        <v>229311</v>
      </c>
      <c r="D6" s="5" t="n">
        <v>453046</v>
      </c>
      <c r="E6" s="6" t="n">
        <f aca="false">C6-D6</f>
        <v>-223735</v>
      </c>
      <c r="F6" s="7" t="n">
        <f aca="false">IF(D6=0,"",E6/ABS(D6))</f>
        <v>-0.493846099513074</v>
      </c>
      <c r="G6" s="4" t="str">
        <f aca="false">IF(AND(ABS(E6)&gt;=Parametros!$B$6,OR(D6=0,ABS(N(F6))&gt;=0.1)),"SIM","não")</f>
        <v>SIM</v>
      </c>
      <c r="H6" s="4" t="s">
        <v>45</v>
      </c>
      <c r="I6" s="4" t="s">
        <v>46</v>
      </c>
      <c r="J6" s="4" t="s">
        <v>47</v>
      </c>
    </row>
    <row r="7" customFormat="false" ht="15" hidden="false" customHeight="false" outlineLevel="0" collapsed="false">
      <c r="A7" s="4" t="s">
        <v>48</v>
      </c>
      <c r="B7" s="4" t="s">
        <v>49</v>
      </c>
      <c r="C7" s="5" t="n">
        <v>37384</v>
      </c>
      <c r="D7" s="5" t="n">
        <v>41658</v>
      </c>
      <c r="E7" s="6" t="n">
        <f aca="false">C7-D7</f>
        <v>-4274</v>
      </c>
      <c r="F7" s="7" t="n">
        <f aca="false">IF(D7=0,"",E7/ABS(D7))</f>
        <v>-0.102597340246771</v>
      </c>
      <c r="G7" s="4" t="str">
        <f aca="false">IF(AND(ABS(E7)&gt;=Parametros!$B$6,OR(D7=0,ABS(N(F7))&gt;=0.1)),"SIM","não")</f>
        <v>não</v>
      </c>
      <c r="H7" s="4"/>
      <c r="I7" s="4"/>
      <c r="J7" s="4"/>
    </row>
    <row r="8" customFormat="false" ht="15" hidden="false" customHeight="false" outlineLevel="0" collapsed="false">
      <c r="A8" s="4" t="s">
        <v>50</v>
      </c>
      <c r="B8" s="4" t="s">
        <v>51</v>
      </c>
      <c r="C8" s="5" t="n">
        <v>126579</v>
      </c>
      <c r="D8" s="5" t="n">
        <v>142546</v>
      </c>
      <c r="E8" s="6" t="n">
        <f aca="false">C8-D8</f>
        <v>-15967</v>
      </c>
      <c r="F8" s="7" t="n">
        <f aca="false">IF(D8=0,"",E8/ABS(D8))</f>
        <v>-0.112012964236106</v>
      </c>
      <c r="G8" s="4" t="str">
        <f aca="false">IF(AND(ABS(E8)&gt;=Parametros!$B$6,OR(D8=0,ABS(N(F8))&gt;=0.1)),"SIM","não")</f>
        <v>não</v>
      </c>
      <c r="H8" s="4"/>
      <c r="I8" s="4"/>
      <c r="J8" s="4"/>
    </row>
    <row r="9" customFormat="false" ht="15" hidden="false" customHeight="false" outlineLevel="0" collapsed="false">
      <c r="A9" s="4" t="s">
        <v>52</v>
      </c>
      <c r="B9" s="4" t="s">
        <v>53</v>
      </c>
      <c r="C9" s="5" t="n">
        <v>350391</v>
      </c>
      <c r="D9" s="5" t="n">
        <v>202433</v>
      </c>
      <c r="E9" s="6" t="n">
        <f aca="false">C9-D9</f>
        <v>147958</v>
      </c>
      <c r="F9" s="7" t="n">
        <f aca="false">IF(D9=0,"",E9/ABS(D9))</f>
        <v>0.73089861830828</v>
      </c>
      <c r="G9" s="4" t="str">
        <f aca="false">IF(AND(ABS(E9)&gt;=Parametros!$B$6,OR(D9=0,ABS(N(F9))&gt;=0.1)),"SIM","não")</f>
        <v>SIM</v>
      </c>
      <c r="H9" s="4" t="s">
        <v>54</v>
      </c>
      <c r="I9" s="4" t="s">
        <v>46</v>
      </c>
      <c r="J9" s="4" t="s">
        <v>47</v>
      </c>
    </row>
    <row r="10" customFormat="false" ht="15" hidden="false" customHeight="false" outlineLevel="0" collapsed="false">
      <c r="A10" s="4" t="s">
        <v>55</v>
      </c>
      <c r="B10" s="4" t="s">
        <v>56</v>
      </c>
      <c r="C10" s="5" t="n">
        <v>7087439</v>
      </c>
      <c r="D10" s="5" t="n">
        <v>7939449</v>
      </c>
      <c r="E10" s="6" t="n">
        <f aca="false">C10-D10</f>
        <v>-852010</v>
      </c>
      <c r="F10" s="7" t="n">
        <f aca="false">IF(D10=0,"",E10/ABS(D10))</f>
        <v>-0.107313492409864</v>
      </c>
      <c r="G10" s="4" t="str">
        <f aca="false">IF(AND(ABS(E10)&gt;=Parametros!$B$6,OR(D10=0,ABS(N(F10))&gt;=0.1)),"SIM","não")</f>
        <v>SIM</v>
      </c>
      <c r="H10" s="4" t="s">
        <v>57</v>
      </c>
      <c r="I10" s="4" t="s">
        <v>58</v>
      </c>
      <c r="J10" s="4" t="s">
        <v>47</v>
      </c>
    </row>
    <row r="11" customFormat="false" ht="28.35" hidden="false" customHeight="false" outlineLevel="0" collapsed="false">
      <c r="A11" s="4" t="s">
        <v>59</v>
      </c>
      <c r="B11" s="4" t="s">
        <v>60</v>
      </c>
      <c r="C11" s="5" t="n">
        <v>32325214</v>
      </c>
      <c r="D11" s="5" t="n">
        <v>27442183</v>
      </c>
      <c r="E11" s="6" t="n">
        <f aca="false">C11-D11</f>
        <v>4883031</v>
      </c>
      <c r="F11" s="7" t="n">
        <f aca="false">IF(D11=0,"",E11/ABS(D11))</f>
        <v>0.177938868784601</v>
      </c>
      <c r="G11" s="4" t="str">
        <f aca="false">IF(AND(ABS(E11)&gt;=Parametros!$B$6,OR(D11=0,ABS(N(F11))&gt;=0.1)),"SIM","não")</f>
        <v>SIM</v>
      </c>
      <c r="H11" s="4" t="s">
        <v>61</v>
      </c>
      <c r="I11" s="4" t="s">
        <v>29</v>
      </c>
      <c r="J11" s="4" t="s">
        <v>62</v>
      </c>
    </row>
    <row r="12" customFormat="false" ht="28.35" hidden="false" customHeight="false" outlineLevel="0" collapsed="false">
      <c r="A12" s="4" t="s">
        <v>63</v>
      </c>
      <c r="B12" s="4" t="s">
        <v>64</v>
      </c>
      <c r="C12" s="5" t="n">
        <v>2760806</v>
      </c>
      <c r="D12" s="5" t="n">
        <v>2564527</v>
      </c>
      <c r="E12" s="6" t="n">
        <f aca="false">C12-D12</f>
        <v>196279</v>
      </c>
      <c r="F12" s="7" t="n">
        <f aca="false">IF(D12=0,"",E12/ABS(D12))</f>
        <v>0.0765361409725848</v>
      </c>
      <c r="G12" s="4" t="str">
        <f aca="false">IF(AND(ABS(E12)&gt;=Parametros!$B$6,OR(D12=0,ABS(N(F12))&gt;=0.1)),"SIM","não")</f>
        <v>não</v>
      </c>
      <c r="H12" s="4" t="s">
        <v>65</v>
      </c>
      <c r="I12" s="4" t="s">
        <v>29</v>
      </c>
      <c r="J12" s="4" t="s">
        <v>66</v>
      </c>
    </row>
    <row r="13" customFormat="false" ht="15" hidden="false" customHeight="false" outlineLevel="0" collapsed="false">
      <c r="A13" s="4" t="s">
        <v>67</v>
      </c>
      <c r="B13" s="4" t="s">
        <v>68</v>
      </c>
      <c r="C13" s="5" t="n">
        <v>46049</v>
      </c>
      <c r="D13" s="5" t="n">
        <v>43650</v>
      </c>
      <c r="E13" s="6" t="n">
        <f aca="false">C13-D13</f>
        <v>2399</v>
      </c>
      <c r="F13" s="7" t="n">
        <f aca="false">IF(D13=0,"",E13/ABS(D13))</f>
        <v>0.0549599083619702</v>
      </c>
      <c r="G13" s="4" t="str">
        <f aca="false">IF(AND(ABS(E13)&gt;=Parametros!$B$6,OR(D13=0,ABS(N(F13))&gt;=0.1)),"SIM","não")</f>
        <v>não</v>
      </c>
      <c r="H13" s="4"/>
      <c r="I13" s="4"/>
      <c r="J13" s="4"/>
    </row>
    <row r="14" customFormat="false" ht="15" hidden="false" customHeight="false" outlineLevel="0" collapsed="false">
      <c r="A14" s="4" t="s">
        <v>69</v>
      </c>
      <c r="B14" s="4" t="s">
        <v>70</v>
      </c>
      <c r="C14" s="5" t="n">
        <v>94871</v>
      </c>
      <c r="D14" s="5" t="n">
        <v>140344</v>
      </c>
      <c r="E14" s="6" t="n">
        <f aca="false">C14-D14</f>
        <v>-45473</v>
      </c>
      <c r="F14" s="7" t="n">
        <f aca="false">IF(D14=0,"",E14/ABS(D14))</f>
        <v>-0.324011001539075</v>
      </c>
      <c r="G14" s="4" t="str">
        <f aca="false">IF(AND(ABS(E14)&gt;=Parametros!$B$6,OR(D14=0,ABS(N(F14))&gt;=0.1)),"SIM","não")</f>
        <v>não</v>
      </c>
      <c r="H14" s="4"/>
      <c r="I14" s="4"/>
      <c r="J14" s="4"/>
    </row>
    <row r="15" customFormat="false" ht="15" hidden="false" customHeight="false" outlineLevel="0" collapsed="false">
      <c r="A15" s="4" t="s">
        <v>71</v>
      </c>
      <c r="B15" s="4" t="s">
        <v>72</v>
      </c>
      <c r="C15" s="5" t="n">
        <v>20406</v>
      </c>
      <c r="D15" s="5" t="n">
        <v>84715</v>
      </c>
      <c r="E15" s="6" t="n">
        <f aca="false">C15-D15</f>
        <v>-64309</v>
      </c>
      <c r="F15" s="7" t="n">
        <f aca="false">IF(D15=0,"",E15/ABS(D15))</f>
        <v>-0.759121761199315</v>
      </c>
      <c r="G15" s="4" t="str">
        <f aca="false">IF(AND(ABS(E15)&gt;=Parametros!$B$6,OR(D15=0,ABS(N(F15))&gt;=0.1)),"SIM","não")</f>
        <v>não</v>
      </c>
      <c r="H15" s="4"/>
      <c r="I15" s="4"/>
      <c r="J15" s="4"/>
    </row>
    <row r="16" customFormat="false" ht="15" hidden="false" customHeight="false" outlineLevel="0" collapsed="false">
      <c r="A16" s="4" t="s">
        <v>73</v>
      </c>
      <c r="B16" s="4" t="s">
        <v>74</v>
      </c>
      <c r="C16" s="5" t="n">
        <v>95413</v>
      </c>
      <c r="D16" s="5" t="n">
        <v>142798</v>
      </c>
      <c r="E16" s="6" t="n">
        <f aca="false">C16-D16</f>
        <v>-47385</v>
      </c>
      <c r="F16" s="7" t="n">
        <f aca="false">IF(D16=0,"",E16/ABS(D16))</f>
        <v>-0.331832378604742</v>
      </c>
      <c r="G16" s="4" t="str">
        <f aca="false">IF(AND(ABS(E16)&gt;=Parametros!$B$6,OR(D16=0,ABS(N(F16))&gt;=0.1)),"SIM","não")</f>
        <v>não</v>
      </c>
      <c r="H16" s="4"/>
      <c r="I16" s="4"/>
      <c r="J16" s="4"/>
    </row>
    <row r="17" customFormat="false" ht="15" hidden="false" customHeight="false" outlineLevel="0" collapsed="false">
      <c r="A17" s="4" t="s">
        <v>75</v>
      </c>
      <c r="B17" s="4" t="s">
        <v>76</v>
      </c>
      <c r="C17" s="5" t="n">
        <v>35342759</v>
      </c>
      <c r="D17" s="5" t="n">
        <v>30418217</v>
      </c>
      <c r="E17" s="6" t="n">
        <f aca="false">C17-D17</f>
        <v>4924542</v>
      </c>
      <c r="F17" s="7" t="n">
        <f aca="false">IF(D17=0,"",E17/ABS(D17))</f>
        <v>0.161894498944498</v>
      </c>
      <c r="G17" s="4" t="str">
        <f aca="false">IF(AND(ABS(E17)&gt;=Parametros!$B$6,OR(D17=0,ABS(N(F17))&gt;=0.1)),"SIM","não")</f>
        <v>SIM</v>
      </c>
      <c r="H17" s="4" t="s">
        <v>57</v>
      </c>
      <c r="I17" s="4" t="s">
        <v>58</v>
      </c>
      <c r="J17" s="4" t="s">
        <v>47</v>
      </c>
    </row>
    <row r="18" customFormat="false" ht="28.35" hidden="false" customHeight="false" outlineLevel="0" collapsed="false">
      <c r="A18" s="4" t="s">
        <v>77</v>
      </c>
      <c r="B18" s="4" t="s">
        <v>78</v>
      </c>
      <c r="C18" s="5" t="n">
        <v>4154815</v>
      </c>
      <c r="D18" s="5" t="n">
        <v>4354888</v>
      </c>
      <c r="E18" s="6" t="n">
        <f aca="false">C18-D18</f>
        <v>-200073</v>
      </c>
      <c r="F18" s="7" t="n">
        <f aca="false">IF(D18=0,"",E18/ABS(D18))</f>
        <v>-0.0459421688915995</v>
      </c>
      <c r="G18" s="4" t="str">
        <f aca="false">IF(AND(ABS(E18)&gt;=Parametros!$B$6,OR(D18=0,ABS(N(F18))&gt;=0.1)),"SIM","não")</f>
        <v>não</v>
      </c>
      <c r="H18" s="4" t="s">
        <v>79</v>
      </c>
      <c r="I18" s="4" t="s">
        <v>39</v>
      </c>
      <c r="J18" s="4" t="s">
        <v>80</v>
      </c>
    </row>
    <row r="19" customFormat="false" ht="15" hidden="false" customHeight="false" outlineLevel="0" collapsed="false">
      <c r="A19" s="4" t="s">
        <v>81</v>
      </c>
      <c r="B19" s="4" t="s">
        <v>82</v>
      </c>
      <c r="C19" s="5" t="n">
        <v>180126</v>
      </c>
      <c r="D19" s="5" t="n">
        <v>153613</v>
      </c>
      <c r="E19" s="6" t="n">
        <f aca="false">C19-D19</f>
        <v>26513</v>
      </c>
      <c r="F19" s="7" t="n">
        <f aca="false">IF(D19=0,"",E19/ABS(D19))</f>
        <v>0.172596069343089</v>
      </c>
      <c r="G19" s="4" t="str">
        <f aca="false">IF(AND(ABS(E19)&gt;=Parametros!$B$6,OR(D19=0,ABS(N(F19))&gt;=0.1)),"SIM","não")</f>
        <v>não</v>
      </c>
      <c r="H19" s="4"/>
      <c r="I19" s="4"/>
      <c r="J19" s="4"/>
    </row>
    <row r="20" customFormat="false" ht="15" hidden="false" customHeight="false" outlineLevel="0" collapsed="false">
      <c r="A20" s="4" t="s">
        <v>83</v>
      </c>
      <c r="B20" s="4" t="s">
        <v>84</v>
      </c>
      <c r="C20" s="5" t="n">
        <v>436233</v>
      </c>
      <c r="D20" s="5" t="n">
        <v>438465</v>
      </c>
      <c r="E20" s="6" t="n">
        <f aca="false">C20-D20</f>
        <v>-2232</v>
      </c>
      <c r="F20" s="7" t="n">
        <f aca="false">IF(D20=0,"",E20/ABS(D20))</f>
        <v>-0.0050904861277411</v>
      </c>
      <c r="G20" s="4" t="str">
        <f aca="false">IF(AND(ABS(E20)&gt;=Parametros!$B$6,OR(D20=0,ABS(N(F20))&gt;=0.1)),"SIM","não")</f>
        <v>não</v>
      </c>
      <c r="H20" s="4"/>
      <c r="I20" s="4"/>
      <c r="J20" s="4"/>
    </row>
    <row r="21" customFormat="false" ht="15" hidden="false" customHeight="false" outlineLevel="0" collapsed="false">
      <c r="A21" s="4" t="s">
        <v>85</v>
      </c>
      <c r="B21" s="4" t="s">
        <v>86</v>
      </c>
      <c r="C21" s="5" t="n">
        <v>4771174</v>
      </c>
      <c r="D21" s="5" t="n">
        <v>4946966</v>
      </c>
      <c r="E21" s="6" t="n">
        <f aca="false">C21-D21</f>
        <v>-175792</v>
      </c>
      <c r="F21" s="7" t="n">
        <f aca="false">IF(D21=0,"",E21/ABS(D21))</f>
        <v>-0.0355353159896389</v>
      </c>
      <c r="G21" s="4" t="str">
        <f aca="false">IF(AND(ABS(E21)&gt;=Parametros!$B$6,OR(D21=0,ABS(N(F21))&gt;=0.1)),"SIM","não")</f>
        <v>não</v>
      </c>
      <c r="H21" s="4"/>
      <c r="I21" s="4"/>
      <c r="J21" s="4"/>
    </row>
    <row r="22" customFormat="false" ht="15" hidden="false" customHeight="false" outlineLevel="0" collapsed="false">
      <c r="A22" s="4" t="s">
        <v>87</v>
      </c>
      <c r="B22" s="4" t="s">
        <v>88</v>
      </c>
      <c r="C22" s="5" t="n">
        <v>40113933</v>
      </c>
      <c r="D22" s="5" t="n">
        <v>35365183</v>
      </c>
      <c r="E22" s="6" t="n">
        <f aca="false">C22-D22</f>
        <v>4748750</v>
      </c>
      <c r="F22" s="7" t="n">
        <f aca="false">IF(D22=0,"",E22/ABS(D22))</f>
        <v>0.134277546365305</v>
      </c>
      <c r="G22" s="4" t="str">
        <f aca="false">IF(AND(ABS(E22)&gt;=Parametros!$B$6,OR(D22=0,ABS(N(F22))&gt;=0.1)),"SIM","não")</f>
        <v>SIM</v>
      </c>
      <c r="H22" s="4" t="s">
        <v>57</v>
      </c>
      <c r="I22" s="4" t="s">
        <v>58</v>
      </c>
      <c r="J22" s="4" t="s">
        <v>47</v>
      </c>
    </row>
    <row r="23" customFormat="false" ht="15" hidden="false" customHeight="false" outlineLevel="0" collapsed="false">
      <c r="A23" s="4" t="s">
        <v>89</v>
      </c>
      <c r="B23" s="4" t="s">
        <v>90</v>
      </c>
      <c r="C23" s="5" t="n">
        <v>47201372</v>
      </c>
      <c r="D23" s="5" t="n">
        <v>43304632</v>
      </c>
      <c r="E23" s="6" t="n">
        <f aca="false">C23-D23</f>
        <v>3896740</v>
      </c>
      <c r="F23" s="7" t="n">
        <f aca="false">IF(D23=0,"",E23/ABS(D23))</f>
        <v>0.0899843693395201</v>
      </c>
      <c r="G23" s="4" t="str">
        <f aca="false">IF(AND(ABS(E23)&gt;=Parametros!$B$6,OR(D23=0,ABS(N(F23))&gt;=0.1)),"SIM","não")</f>
        <v>não</v>
      </c>
      <c r="H23" s="4"/>
      <c r="I23" s="4"/>
      <c r="J23" s="4"/>
    </row>
    <row r="24" customFormat="false" ht="15" hidden="false" customHeight="false" outlineLevel="0" collapsed="false">
      <c r="A24" s="4" t="s">
        <v>91</v>
      </c>
      <c r="B24" s="4" t="s">
        <v>92</v>
      </c>
      <c r="C24" s="5" t="n">
        <v>90082</v>
      </c>
      <c r="D24" s="5" t="n">
        <v>82056</v>
      </c>
      <c r="E24" s="6" t="n">
        <f aca="false">C24-D24</f>
        <v>8026</v>
      </c>
      <c r="F24" s="7" t="n">
        <f aca="false">IF(D24=0,"",E24/ABS(D24))</f>
        <v>0.097811250853076</v>
      </c>
      <c r="G24" s="4" t="str">
        <f aca="false">IF(AND(ABS(E24)&gt;=Parametros!$B$6,OR(D24=0,ABS(N(F24))&gt;=0.1)),"SIM","não")</f>
        <v>não</v>
      </c>
      <c r="H24" s="4"/>
      <c r="I24" s="4"/>
      <c r="J24" s="4"/>
    </row>
    <row r="25" customFormat="false" ht="28.35" hidden="false" customHeight="false" outlineLevel="0" collapsed="false">
      <c r="A25" s="4" t="s">
        <v>93</v>
      </c>
      <c r="B25" s="4" t="s">
        <v>94</v>
      </c>
      <c r="C25" s="5" t="n">
        <v>496001</v>
      </c>
      <c r="D25" s="5" t="n">
        <v>1109914</v>
      </c>
      <c r="E25" s="6" t="n">
        <f aca="false">C25-D25</f>
        <v>-613913</v>
      </c>
      <c r="F25" s="7" t="n">
        <f aca="false">IF(D25=0,"",E25/ABS(D25))</f>
        <v>-0.553117628933413</v>
      </c>
      <c r="G25" s="4" t="str">
        <f aca="false">IF(AND(ABS(E25)&gt;=Parametros!$B$6,OR(D25=0,ABS(N(F25))&gt;=0.1)),"SIM","não")</f>
        <v>SIM</v>
      </c>
      <c r="H25" s="4" t="s">
        <v>95</v>
      </c>
      <c r="I25" s="4" t="s">
        <v>29</v>
      </c>
      <c r="J25" s="4" t="s">
        <v>96</v>
      </c>
    </row>
    <row r="26" customFormat="false" ht="15" hidden="false" customHeight="false" outlineLevel="0" collapsed="false">
      <c r="A26" s="4" t="s">
        <v>97</v>
      </c>
      <c r="B26" s="4" t="s">
        <v>98</v>
      </c>
      <c r="C26" s="5" t="n">
        <v>18677</v>
      </c>
      <c r="D26" s="5" t="n">
        <v>12020</v>
      </c>
      <c r="E26" s="6" t="n">
        <f aca="false">C26-D26</f>
        <v>6657</v>
      </c>
      <c r="F26" s="7" t="n">
        <f aca="false">IF(D26=0,"",E26/ABS(D26))</f>
        <v>0.553826955074875</v>
      </c>
      <c r="G26" s="4" t="str">
        <f aca="false">IF(AND(ABS(E26)&gt;=Parametros!$B$6,OR(D26=0,ABS(N(F26))&gt;=0.1)),"SIM","não")</f>
        <v>não</v>
      </c>
      <c r="H26" s="4"/>
      <c r="I26" s="4"/>
      <c r="J26" s="4"/>
    </row>
    <row r="27" customFormat="false" ht="15" hidden="false" customHeight="false" outlineLevel="0" collapsed="false">
      <c r="A27" s="4" t="s">
        <v>99</v>
      </c>
      <c r="B27" s="4" t="s">
        <v>100</v>
      </c>
      <c r="C27" s="5" t="n">
        <v>254445</v>
      </c>
      <c r="D27" s="5" t="n">
        <v>182169</v>
      </c>
      <c r="E27" s="6" t="n">
        <f aca="false">C27-D27</f>
        <v>72276</v>
      </c>
      <c r="F27" s="7" t="n">
        <f aca="false">IF(D27=0,"",E27/ABS(D27))</f>
        <v>0.396752466116628</v>
      </c>
      <c r="G27" s="4" t="str">
        <f aca="false">IF(AND(ABS(E27)&gt;=Parametros!$B$6,OR(D27=0,ABS(N(F27))&gt;=0.1)),"SIM","não")</f>
        <v>não</v>
      </c>
      <c r="H27" s="4"/>
      <c r="I27" s="4"/>
      <c r="J27" s="4"/>
    </row>
    <row r="28" customFormat="false" ht="15" hidden="false" customHeight="false" outlineLevel="0" collapsed="false">
      <c r="A28" s="4" t="s">
        <v>101</v>
      </c>
      <c r="B28" s="4" t="s">
        <v>102</v>
      </c>
      <c r="C28" s="5" t="n">
        <v>213325</v>
      </c>
      <c r="D28" s="5" t="n">
        <v>139146</v>
      </c>
      <c r="E28" s="6" t="n">
        <f aca="false">C28-D28</f>
        <v>74179</v>
      </c>
      <c r="F28" s="7" t="n">
        <f aca="false">IF(D28=0,"",E28/ABS(D28))</f>
        <v>0.533101921722507</v>
      </c>
      <c r="G28" s="4" t="str">
        <f aca="false">IF(AND(ABS(E28)&gt;=Parametros!$B$6,OR(D28=0,ABS(N(F28))&gt;=0.1)),"SIM","não")</f>
        <v>não</v>
      </c>
      <c r="H28" s="4"/>
      <c r="I28" s="4"/>
      <c r="J28" s="4"/>
    </row>
    <row r="29" customFormat="false" ht="15" hidden="false" customHeight="false" outlineLevel="0" collapsed="false">
      <c r="A29" s="4" t="s">
        <v>103</v>
      </c>
      <c r="B29" s="4" t="s">
        <v>104</v>
      </c>
      <c r="C29" s="5" t="n">
        <v>69203</v>
      </c>
      <c r="D29" s="5" t="n">
        <v>66750</v>
      </c>
      <c r="E29" s="6" t="n">
        <f aca="false">C29-D29</f>
        <v>2453</v>
      </c>
      <c r="F29" s="7" t="n">
        <f aca="false">IF(D29=0,"",E29/ABS(D29))</f>
        <v>0.036749063670412</v>
      </c>
      <c r="G29" s="4" t="str">
        <f aca="false">IF(AND(ABS(E29)&gt;=Parametros!$B$6,OR(D29=0,ABS(N(F29))&gt;=0.1)),"SIM","não")</f>
        <v>não</v>
      </c>
      <c r="H29" s="4"/>
      <c r="I29" s="4"/>
      <c r="J29" s="4"/>
    </row>
    <row r="30" customFormat="false" ht="28.35" hidden="false" customHeight="false" outlineLevel="0" collapsed="false">
      <c r="A30" s="4" t="s">
        <v>105</v>
      </c>
      <c r="B30" s="4" t="s">
        <v>106</v>
      </c>
      <c r="C30" s="5" t="n">
        <v>422540</v>
      </c>
      <c r="D30" s="5" t="n">
        <v>1329622</v>
      </c>
      <c r="E30" s="6" t="n">
        <f aca="false">C30-D30</f>
        <v>-907082</v>
      </c>
      <c r="F30" s="7" t="n">
        <f aca="false">IF(D30=0,"",E30/ABS(D30))</f>
        <v>-0.682210432739531</v>
      </c>
      <c r="G30" s="4" t="str">
        <f aca="false">IF(AND(ABS(E30)&gt;=Parametros!$B$6,OR(D30=0,ABS(N(F30))&gt;=0.1)),"SIM","não")</f>
        <v>SIM</v>
      </c>
      <c r="H30" s="4" t="s">
        <v>107</v>
      </c>
      <c r="I30" s="4" t="s">
        <v>29</v>
      </c>
      <c r="J30" s="4" t="s">
        <v>108</v>
      </c>
    </row>
    <row r="31" customFormat="false" ht="15" hidden="false" customHeight="false" outlineLevel="0" collapsed="false">
      <c r="A31" s="4" t="s">
        <v>109</v>
      </c>
      <c r="B31" s="4" t="s">
        <v>110</v>
      </c>
      <c r="C31" s="5" t="n">
        <v>79962</v>
      </c>
      <c r="D31" s="5" t="n">
        <v>71658</v>
      </c>
      <c r="E31" s="6" t="n">
        <f aca="false">C31-D31</f>
        <v>8304</v>
      </c>
      <c r="F31" s="7" t="n">
        <f aca="false">IF(D31=0,"",E31/ABS(D31))</f>
        <v>0.115883781294482</v>
      </c>
      <c r="G31" s="4" t="str">
        <f aca="false">IF(AND(ABS(E31)&gt;=Parametros!$B$6,OR(D31=0,ABS(N(F31))&gt;=0.1)),"SIM","não")</f>
        <v>não</v>
      </c>
      <c r="H31" s="4"/>
      <c r="I31" s="4"/>
      <c r="J31" s="4"/>
    </row>
    <row r="32" customFormat="false" ht="15" hidden="false" customHeight="false" outlineLevel="0" collapsed="false">
      <c r="A32" s="4" t="s">
        <v>111</v>
      </c>
      <c r="B32" s="4" t="s">
        <v>49</v>
      </c>
      <c r="C32" s="5" t="n">
        <v>2916</v>
      </c>
      <c r="D32" s="5" t="n">
        <v>0</v>
      </c>
      <c r="E32" s="6" t="n">
        <f aca="false">C32-D32</f>
        <v>2916</v>
      </c>
      <c r="F32" s="7" t="str">
        <f aca="false">IF(D32=0,"",E32/ABS(D32))</f>
        <v/>
      </c>
      <c r="G32" s="4" t="str">
        <f aca="false">IF(AND(ABS(E32)&gt;=Parametros!$B$6,OR(D32=0,ABS(N(F32))&gt;=0.1)),"SIM","não")</f>
        <v>não</v>
      </c>
      <c r="H32" s="4"/>
      <c r="I32" s="4"/>
      <c r="J32" s="4"/>
    </row>
    <row r="33" customFormat="false" ht="15" hidden="false" customHeight="false" outlineLevel="0" collapsed="false">
      <c r="A33" s="4" t="s">
        <v>112</v>
      </c>
      <c r="B33" s="4" t="s">
        <v>113</v>
      </c>
      <c r="C33" s="5" t="n">
        <v>210460</v>
      </c>
      <c r="D33" s="5" t="n">
        <v>244333</v>
      </c>
      <c r="E33" s="6" t="n">
        <f aca="false">C33-D33</f>
        <v>-33873</v>
      </c>
      <c r="F33" s="7" t="n">
        <f aca="false">IF(D33=0,"",E33/ABS(D33))</f>
        <v>-0.13863456839641</v>
      </c>
      <c r="G33" s="4" t="str">
        <f aca="false">IF(AND(ABS(E33)&gt;=Parametros!$B$6,OR(D33=0,ABS(N(F33))&gt;=0.1)),"SIM","não")</f>
        <v>não</v>
      </c>
      <c r="H33" s="4"/>
      <c r="I33" s="4"/>
      <c r="J33" s="4"/>
    </row>
    <row r="34" customFormat="false" ht="15" hidden="false" customHeight="false" outlineLevel="0" collapsed="false">
      <c r="A34" s="4" t="s">
        <v>114</v>
      </c>
      <c r="B34" s="4" t="s">
        <v>53</v>
      </c>
      <c r="C34" s="5" t="n">
        <v>29160</v>
      </c>
      <c r="D34" s="5" t="n">
        <v>27150</v>
      </c>
      <c r="E34" s="6" t="n">
        <f aca="false">C34-D34</f>
        <v>2010</v>
      </c>
      <c r="F34" s="7" t="n">
        <f aca="false">IF(D34=0,"",E34/ABS(D34))</f>
        <v>0.0740331491712707</v>
      </c>
      <c r="G34" s="4" t="str">
        <f aca="false">IF(AND(ABS(E34)&gt;=Parametros!$B$6,OR(D34=0,ABS(N(F34))&gt;=0.1)),"SIM","não")</f>
        <v>não</v>
      </c>
      <c r="H34" s="4"/>
      <c r="I34" s="4"/>
      <c r="J34" s="4"/>
    </row>
    <row r="35" customFormat="false" ht="15" hidden="false" customHeight="false" outlineLevel="0" collapsed="false">
      <c r="A35" s="4" t="s">
        <v>115</v>
      </c>
      <c r="B35" s="4" t="s">
        <v>116</v>
      </c>
      <c r="C35" s="5" t="n">
        <v>1886771</v>
      </c>
      <c r="D35" s="5" t="n">
        <v>3264818</v>
      </c>
      <c r="E35" s="6" t="n">
        <f aca="false">C35-D35</f>
        <v>-1378047</v>
      </c>
      <c r="F35" s="7" t="n">
        <f aca="false">IF(D35=0,"",E35/ABS(D35))</f>
        <v>-0.422089990927519</v>
      </c>
      <c r="G35" s="4" t="str">
        <f aca="false">IF(AND(ABS(E35)&gt;=Parametros!$B$6,OR(D35=0,ABS(N(F35))&gt;=0.1)),"SIM","não")</f>
        <v>SIM</v>
      </c>
      <c r="H35" s="4" t="s">
        <v>57</v>
      </c>
      <c r="I35" s="4" t="s">
        <v>58</v>
      </c>
      <c r="J35" s="4" t="s">
        <v>47</v>
      </c>
    </row>
    <row r="36" customFormat="false" ht="15" hidden="false" customHeight="false" outlineLevel="0" collapsed="false">
      <c r="A36" s="4" t="s">
        <v>117</v>
      </c>
      <c r="B36" s="4" t="s">
        <v>118</v>
      </c>
      <c r="C36" s="5" t="n">
        <v>669117</v>
      </c>
      <c r="D36" s="5" t="n">
        <v>651766</v>
      </c>
      <c r="E36" s="6" t="n">
        <f aca="false">C36-D36</f>
        <v>17351</v>
      </c>
      <c r="F36" s="7" t="n">
        <f aca="false">IF(D36=0,"",E36/ABS(D36))</f>
        <v>0.0266215175385031</v>
      </c>
      <c r="G36" s="4" t="str">
        <f aca="false">IF(AND(ABS(E36)&gt;=Parametros!$B$6,OR(D36=0,ABS(N(F36))&gt;=0.1)),"SIM","não")</f>
        <v>não</v>
      </c>
      <c r="H36" s="4"/>
      <c r="I36" s="4"/>
      <c r="J36" s="4"/>
    </row>
    <row r="37" customFormat="false" ht="28.35" hidden="false" customHeight="false" outlineLevel="0" collapsed="false">
      <c r="A37" s="4" t="s">
        <v>119</v>
      </c>
      <c r="B37" s="4" t="s">
        <v>120</v>
      </c>
      <c r="C37" s="5" t="n">
        <v>14696513</v>
      </c>
      <c r="D37" s="5" t="n">
        <v>11392559</v>
      </c>
      <c r="E37" s="6" t="n">
        <f aca="false">C37-D37</f>
        <v>3303954</v>
      </c>
      <c r="F37" s="7" t="n">
        <f aca="false">IF(D37=0,"",E37/ABS(D37))</f>
        <v>0.290009821322848</v>
      </c>
      <c r="G37" s="4" t="str">
        <f aca="false">IF(AND(ABS(E37)&gt;=Parametros!$B$6,OR(D37=0,ABS(N(F37))&gt;=0.1)),"SIM","não")</f>
        <v>SIM</v>
      </c>
      <c r="H37" s="4" t="s">
        <v>121</v>
      </c>
      <c r="I37" s="4" t="s">
        <v>34</v>
      </c>
      <c r="J37" s="4" t="s">
        <v>122</v>
      </c>
    </row>
    <row r="38" customFormat="false" ht="15" hidden="false" customHeight="false" outlineLevel="0" collapsed="false">
      <c r="A38" s="4" t="s">
        <v>123</v>
      </c>
      <c r="B38" s="4" t="s">
        <v>124</v>
      </c>
      <c r="C38" s="5" t="n">
        <v>36959</v>
      </c>
      <c r="D38" s="5" t="n">
        <v>25489</v>
      </c>
      <c r="E38" s="6" t="n">
        <f aca="false">C38-D38</f>
        <v>11470</v>
      </c>
      <c r="F38" s="7" t="n">
        <f aca="false">IF(D38=0,"",E38/ABS(D38))</f>
        <v>0.449998038369493</v>
      </c>
      <c r="G38" s="4" t="str">
        <f aca="false">IF(AND(ABS(E38)&gt;=Parametros!$B$6,OR(D38=0,ABS(N(F38))&gt;=0.1)),"SIM","não")</f>
        <v>não</v>
      </c>
      <c r="H38" s="4"/>
      <c r="I38" s="4"/>
      <c r="J38" s="4"/>
    </row>
    <row r="39" customFormat="false" ht="28.35" hidden="false" customHeight="false" outlineLevel="0" collapsed="false">
      <c r="A39" s="4" t="s">
        <v>125</v>
      </c>
      <c r="B39" s="4" t="s">
        <v>126</v>
      </c>
      <c r="C39" s="5" t="n">
        <v>2966130</v>
      </c>
      <c r="D39" s="5" t="n">
        <v>2493513</v>
      </c>
      <c r="E39" s="6" t="n">
        <f aca="false">C39-D39</f>
        <v>472617</v>
      </c>
      <c r="F39" s="7" t="n">
        <f aca="false">IF(D39=0,"",E39/ABS(D39))</f>
        <v>0.189538614797677</v>
      </c>
      <c r="G39" s="4" t="str">
        <f aca="false">IF(AND(ABS(E39)&gt;=Parametros!$B$6,OR(D39=0,ABS(N(F39))&gt;=0.1)),"SIM","não")</f>
        <v>SIM</v>
      </c>
      <c r="H39" s="4" t="s">
        <v>127</v>
      </c>
      <c r="I39" s="4" t="s">
        <v>29</v>
      </c>
      <c r="J39" s="4" t="s">
        <v>128</v>
      </c>
    </row>
    <row r="40" customFormat="false" ht="15" hidden="false" customHeight="false" outlineLevel="0" collapsed="false">
      <c r="A40" s="4" t="s">
        <v>129</v>
      </c>
      <c r="B40" s="4" t="s">
        <v>130</v>
      </c>
      <c r="C40" s="5" t="n">
        <v>5287595</v>
      </c>
      <c r="D40" s="5" t="n">
        <v>5175168</v>
      </c>
      <c r="E40" s="6" t="n">
        <f aca="false">C40-D40</f>
        <v>112427</v>
      </c>
      <c r="F40" s="7" t="n">
        <f aca="false">IF(D40=0,"",E40/ABS(D40))</f>
        <v>0.0217243189013381</v>
      </c>
      <c r="G40" s="4" t="str">
        <f aca="false">IF(AND(ABS(E40)&gt;=Parametros!$B$6,OR(D40=0,ABS(N(F40))&gt;=0.1)),"SIM","não")</f>
        <v>não</v>
      </c>
      <c r="H40" s="4"/>
      <c r="I40" s="4"/>
      <c r="J40" s="4"/>
    </row>
    <row r="41" customFormat="false" ht="15" hidden="false" customHeight="false" outlineLevel="0" collapsed="false">
      <c r="A41" s="4" t="s">
        <v>131</v>
      </c>
      <c r="B41" s="4" t="s">
        <v>132</v>
      </c>
      <c r="C41" s="5" t="n">
        <v>37134</v>
      </c>
      <c r="D41" s="5" t="n">
        <v>30763</v>
      </c>
      <c r="E41" s="6" t="n">
        <f aca="false">C41-D41</f>
        <v>6371</v>
      </c>
      <c r="F41" s="7" t="n">
        <f aca="false">IF(D41=0,"",E41/ABS(D41))</f>
        <v>0.207099437636121</v>
      </c>
      <c r="G41" s="4" t="str">
        <f aca="false">IF(AND(ABS(E41)&gt;=Parametros!$B$6,OR(D41=0,ABS(N(F41))&gt;=0.1)),"SIM","não")</f>
        <v>não</v>
      </c>
      <c r="H41" s="4"/>
      <c r="I41" s="4"/>
      <c r="J41" s="4"/>
    </row>
    <row r="42" customFormat="false" ht="15" hidden="false" customHeight="false" outlineLevel="0" collapsed="false">
      <c r="A42" s="4" t="s">
        <v>133</v>
      </c>
      <c r="B42" s="4" t="s">
        <v>134</v>
      </c>
      <c r="C42" s="5" t="n">
        <v>163035</v>
      </c>
      <c r="D42" s="5" t="n">
        <v>197271</v>
      </c>
      <c r="E42" s="6" t="n">
        <f aca="false">C42-D42</f>
        <v>-34236</v>
      </c>
      <c r="F42" s="7" t="n">
        <f aca="false">IF(D42=0,"",E42/ABS(D42))</f>
        <v>-0.173548063324057</v>
      </c>
      <c r="G42" s="4" t="str">
        <f aca="false">IF(AND(ABS(E42)&gt;=Parametros!$B$6,OR(D42=0,ABS(N(F42))&gt;=0.1)),"SIM","não")</f>
        <v>não</v>
      </c>
      <c r="H42" s="4"/>
      <c r="I42" s="4"/>
      <c r="J42" s="4"/>
    </row>
    <row r="43" customFormat="false" ht="15" hidden="false" customHeight="false" outlineLevel="0" collapsed="false">
      <c r="A43" s="4" t="s">
        <v>135</v>
      </c>
      <c r="B43" s="4" t="s">
        <v>136</v>
      </c>
      <c r="C43" s="5" t="n">
        <v>17312</v>
      </c>
      <c r="D43" s="5" t="n">
        <v>0</v>
      </c>
      <c r="E43" s="6" t="n">
        <f aca="false">C43-D43</f>
        <v>17312</v>
      </c>
      <c r="F43" s="7" t="str">
        <f aca="false">IF(D43=0,"",E43/ABS(D43))</f>
        <v/>
      </c>
      <c r="G43" s="4" t="str">
        <f aca="false">IF(AND(ABS(E43)&gt;=Parametros!$B$6,OR(D43=0,ABS(N(F43))&gt;=0.1)),"SIM","não")</f>
        <v>não</v>
      </c>
      <c r="H43" s="4"/>
      <c r="I43" s="4"/>
      <c r="J43" s="4"/>
    </row>
    <row r="44" customFormat="false" ht="15" hidden="false" customHeight="false" outlineLevel="0" collapsed="false">
      <c r="A44" s="4" t="s">
        <v>137</v>
      </c>
      <c r="B44" s="4" t="s">
        <v>138</v>
      </c>
      <c r="C44" s="5" t="n">
        <v>3795</v>
      </c>
      <c r="D44" s="5" t="n">
        <v>2003</v>
      </c>
      <c r="E44" s="6" t="n">
        <f aca="false">C44-D44</f>
        <v>1792</v>
      </c>
      <c r="F44" s="7" t="n">
        <f aca="false">IF(D44=0,"",E44/ABS(D44))</f>
        <v>0.894658012980529</v>
      </c>
      <c r="G44" s="4" t="str">
        <f aca="false">IF(AND(ABS(E44)&gt;=Parametros!$B$6,OR(D44=0,ABS(N(F44))&gt;=0.1)),"SIM","não")</f>
        <v>não</v>
      </c>
      <c r="H44" s="4"/>
      <c r="I44" s="4"/>
      <c r="J44" s="4"/>
    </row>
    <row r="45" customFormat="false" ht="15" hidden="false" customHeight="false" outlineLevel="0" collapsed="false">
      <c r="A45" s="4" t="s">
        <v>139</v>
      </c>
      <c r="B45" s="4" t="s">
        <v>140</v>
      </c>
      <c r="C45" s="5" t="n">
        <v>23877590</v>
      </c>
      <c r="D45" s="5" t="n">
        <v>19968532</v>
      </c>
      <c r="E45" s="6" t="n">
        <f aca="false">C45-D45</f>
        <v>3909058</v>
      </c>
      <c r="F45" s="7" t="n">
        <f aca="false">IF(D45=0,"",E45/ABS(D45))</f>
        <v>0.195760910216134</v>
      </c>
      <c r="G45" s="4" t="str">
        <f aca="false">IF(AND(ABS(E45)&gt;=Parametros!$B$6,OR(D45=0,ABS(N(F45))&gt;=0.1)),"SIM","não")</f>
        <v>SIM</v>
      </c>
      <c r="H45" s="4" t="s">
        <v>57</v>
      </c>
      <c r="I45" s="4" t="s">
        <v>58</v>
      </c>
      <c r="J45" s="4" t="s">
        <v>47</v>
      </c>
    </row>
    <row r="46" customFormat="false" ht="15" hidden="false" customHeight="false" outlineLevel="0" collapsed="false">
      <c r="A46" s="4" t="s">
        <v>141</v>
      </c>
      <c r="B46" s="4" t="s">
        <v>142</v>
      </c>
      <c r="C46" s="5" t="n">
        <v>3590020</v>
      </c>
      <c r="D46" s="5" t="n">
        <v>3590020</v>
      </c>
      <c r="E46" s="6" t="n">
        <f aca="false">C46-D46</f>
        <v>0</v>
      </c>
      <c r="F46" s="7" t="n">
        <f aca="false">IF(D46=0,"",E46/ABS(D46))</f>
        <v>0</v>
      </c>
      <c r="G46" s="4" t="str">
        <f aca="false">IF(AND(ABS(E46)&gt;=Parametros!$B$6,OR(D46=0,ABS(N(F46))&gt;=0.1)),"SIM","não")</f>
        <v>não</v>
      </c>
      <c r="H46" s="4"/>
      <c r="I46" s="4"/>
      <c r="J46" s="4"/>
    </row>
    <row r="47" customFormat="false" ht="15" hidden="false" customHeight="false" outlineLevel="0" collapsed="false">
      <c r="A47" s="4" t="s">
        <v>143</v>
      </c>
      <c r="B47" s="4" t="s">
        <v>144</v>
      </c>
      <c r="C47" s="5" t="n">
        <v>666</v>
      </c>
      <c r="D47" s="5" t="n">
        <v>666</v>
      </c>
      <c r="E47" s="6" t="n">
        <f aca="false">C47-D47</f>
        <v>0</v>
      </c>
      <c r="F47" s="7" t="n">
        <f aca="false">IF(D47=0,"",E47/ABS(D47))</f>
        <v>0</v>
      </c>
      <c r="G47" s="4" t="str">
        <f aca="false">IF(AND(ABS(E47)&gt;=Parametros!$B$6,OR(D47=0,ABS(N(F47))&gt;=0.1)),"SIM","não")</f>
        <v>não</v>
      </c>
      <c r="H47" s="4"/>
      <c r="I47" s="4"/>
      <c r="J47" s="4"/>
    </row>
    <row r="48" customFormat="false" ht="28.35" hidden="false" customHeight="false" outlineLevel="0" collapsed="false">
      <c r="A48" s="4" t="s">
        <v>145</v>
      </c>
      <c r="B48" s="4" t="s">
        <v>146</v>
      </c>
      <c r="C48" s="5" t="n">
        <v>17183674</v>
      </c>
      <c r="D48" s="5" t="n">
        <v>15950329</v>
      </c>
      <c r="E48" s="6" t="n">
        <f aca="false">C48-D48</f>
        <v>1233345</v>
      </c>
      <c r="F48" s="7" t="n">
        <f aca="false">IF(D48=0,"",E48/ABS(D48))</f>
        <v>0.0773241103678802</v>
      </c>
      <c r="G48" s="4" t="str">
        <f aca="false">IF(AND(ABS(E48)&gt;=Parametros!$B$6,OR(D48=0,ABS(N(F48))&gt;=0.1)),"SIM","não")</f>
        <v>não</v>
      </c>
      <c r="H48" s="4" t="s">
        <v>147</v>
      </c>
      <c r="I48" s="4" t="s">
        <v>29</v>
      </c>
      <c r="J48" s="4" t="s">
        <v>148</v>
      </c>
    </row>
    <row r="49" customFormat="false" ht="28.35" hidden="false" customHeight="false" outlineLevel="0" collapsed="false">
      <c r="A49" s="4" t="s">
        <v>149</v>
      </c>
      <c r="B49" s="4" t="s">
        <v>150</v>
      </c>
      <c r="C49" s="5" t="n">
        <v>279322</v>
      </c>
      <c r="D49" s="5" t="n">
        <v>0</v>
      </c>
      <c r="E49" s="6" t="n">
        <f aca="false">C49-D49</f>
        <v>279322</v>
      </c>
      <c r="F49" s="7" t="str">
        <f aca="false">IF(D49=0,"",E49/ABS(D49))</f>
        <v/>
      </c>
      <c r="G49" s="4" t="str">
        <f aca="false">IF(AND(ABS(E49)&gt;=Parametros!$B$6,OR(D49=0,ABS(N(F49))&gt;=0.1)),"SIM","não")</f>
        <v>SIM</v>
      </c>
      <c r="H49" s="4" t="s">
        <v>151</v>
      </c>
      <c r="I49" s="4" t="s">
        <v>29</v>
      </c>
      <c r="J49" s="4" t="s">
        <v>108</v>
      </c>
    </row>
    <row r="50" customFormat="false" ht="15" hidden="false" customHeight="false" outlineLevel="0" collapsed="false">
      <c r="A50" s="4" t="s">
        <v>152</v>
      </c>
      <c r="B50" s="4" t="s">
        <v>153</v>
      </c>
      <c r="C50" s="5" t="n">
        <v>97785</v>
      </c>
      <c r="D50" s="5" t="n">
        <v>173566</v>
      </c>
      <c r="E50" s="6" t="n">
        <f aca="false">C50-D50</f>
        <v>-75781</v>
      </c>
      <c r="F50" s="7" t="n">
        <f aca="false">IF(D50=0,"",E50/ABS(D50))</f>
        <v>-0.436612009264487</v>
      </c>
      <c r="G50" s="4" t="str">
        <f aca="false">IF(AND(ABS(E50)&gt;=Parametros!$B$6,OR(D50=0,ABS(N(F50))&gt;=0.1)),"SIM","não")</f>
        <v>não</v>
      </c>
      <c r="H50" s="4"/>
      <c r="I50" s="4"/>
      <c r="J50" s="4"/>
    </row>
    <row r="51" customFormat="false" ht="15" hidden="false" customHeight="false" outlineLevel="0" collapsed="false">
      <c r="A51" s="4" t="s">
        <v>154</v>
      </c>
      <c r="B51" s="4" t="s">
        <v>155</v>
      </c>
      <c r="C51" s="5" t="n">
        <v>21151467</v>
      </c>
      <c r="D51" s="5" t="n">
        <v>19714581</v>
      </c>
      <c r="E51" s="6" t="n">
        <f aca="false">C51-D51</f>
        <v>1436886</v>
      </c>
      <c r="F51" s="7" t="n">
        <f aca="false">IF(D51=0,"",E51/ABS(D51))</f>
        <v>0.0728844300571237</v>
      </c>
      <c r="G51" s="4" t="str">
        <f aca="false">IF(AND(ABS(E51)&gt;=Parametros!$B$6,OR(D51=0,ABS(N(F51))&gt;=0.1)),"SIM","não")</f>
        <v>não</v>
      </c>
      <c r="H51" s="4"/>
      <c r="I51" s="4"/>
      <c r="J51" s="4"/>
    </row>
    <row r="52" customFormat="false" ht="28.35" hidden="false" customHeight="false" outlineLevel="0" collapsed="false">
      <c r="A52" s="4" t="s">
        <v>156</v>
      </c>
      <c r="B52" s="4" t="s">
        <v>157</v>
      </c>
      <c r="C52" s="5" t="n">
        <v>285544</v>
      </c>
      <c r="D52" s="5" t="n">
        <v>356701</v>
      </c>
      <c r="E52" s="6" t="n">
        <f aca="false">C52-D52</f>
        <v>-71157</v>
      </c>
      <c r="F52" s="7" t="n">
        <f aca="false">IF(D52=0,"",E52/ABS(D52))</f>
        <v>-0.199486404579746</v>
      </c>
      <c r="G52" s="4" t="str">
        <f aca="false">IF(AND(ABS(E52)&gt;=Parametros!$B$6,OR(D52=0,ABS(N(F52))&gt;=0.1)),"SIM","não")</f>
        <v>não</v>
      </c>
      <c r="H52" s="4"/>
      <c r="I52" s="4"/>
      <c r="J52" s="4"/>
    </row>
    <row r="53" customFormat="false" ht="15" hidden="false" customHeight="false" outlineLevel="0" collapsed="false">
      <c r="A53" s="4" t="s">
        <v>158</v>
      </c>
      <c r="B53" s="4" t="s">
        <v>159</v>
      </c>
      <c r="C53" s="5" t="n">
        <v>21437011</v>
      </c>
      <c r="D53" s="5" t="n">
        <v>20071282</v>
      </c>
      <c r="E53" s="6" t="n">
        <f aca="false">C53-D53</f>
        <v>1365729</v>
      </c>
      <c r="F53" s="7" t="n">
        <f aca="false">IF(D53=0,"",E53/ABS(D53))</f>
        <v>0.0680439346126471</v>
      </c>
      <c r="G53" s="4" t="str">
        <f aca="false">IF(AND(ABS(E53)&gt;=Parametros!$B$6,OR(D53=0,ABS(N(F53))&gt;=0.1)),"SIM","não")</f>
        <v>não</v>
      </c>
      <c r="H53" s="4"/>
      <c r="I53" s="4"/>
      <c r="J53" s="4"/>
    </row>
    <row r="54" customFormat="false" ht="15" hidden="false" customHeight="false" outlineLevel="0" collapsed="false">
      <c r="A54" s="4" t="s">
        <v>160</v>
      </c>
      <c r="B54" s="4" t="s">
        <v>161</v>
      </c>
      <c r="C54" s="5" t="n">
        <v>47201372</v>
      </c>
      <c r="D54" s="5" t="n">
        <v>43304632</v>
      </c>
      <c r="E54" s="6" t="n">
        <f aca="false">C54-D54</f>
        <v>3896740</v>
      </c>
      <c r="F54" s="7" t="n">
        <f aca="false">IF(D54=0,"",E54/ABS(D54))</f>
        <v>0.0899843693395201</v>
      </c>
      <c r="G54" s="4" t="str">
        <f aca="false">IF(AND(ABS(E54)&gt;=Parametros!$B$6,OR(D54=0,ABS(N(F54))&gt;=0.1)),"SIM","não")</f>
        <v>não</v>
      </c>
      <c r="H54" s="4"/>
      <c r="I54" s="4"/>
      <c r="J54" s="4"/>
    </row>
    <row r="55" customFormat="false" ht="28.35" hidden="false" customHeight="false" outlineLevel="0" collapsed="false">
      <c r="A55" s="4" t="s">
        <v>162</v>
      </c>
      <c r="B55" s="4" t="s">
        <v>163</v>
      </c>
      <c r="C55" s="5" t="n">
        <v>9411153</v>
      </c>
      <c r="D55" s="5" t="n">
        <v>7966581</v>
      </c>
      <c r="E55" s="6" t="n">
        <f aca="false">C55-D55</f>
        <v>1444572</v>
      </c>
      <c r="F55" s="7" t="n">
        <f aca="false">IF(D55=0,"",E55/ABS(D55))</f>
        <v>0.181328979144253</v>
      </c>
      <c r="G55" s="4" t="str">
        <f aca="false">IF(AND(ABS(E55)&gt;=Parametros!$B$6,OR(D55=0,ABS(N(F55))&gt;=0.1)),"SIM","não")</f>
        <v>SIM</v>
      </c>
      <c r="H55" s="4" t="s">
        <v>164</v>
      </c>
      <c r="I55" s="4" t="s">
        <v>34</v>
      </c>
      <c r="J55" s="4" t="s">
        <v>165</v>
      </c>
    </row>
    <row r="56" customFormat="false" ht="28.35" hidden="false" customHeight="false" outlineLevel="0" collapsed="false">
      <c r="A56" s="4" t="s">
        <v>166</v>
      </c>
      <c r="B56" s="4" t="s">
        <v>167</v>
      </c>
      <c r="C56" s="5" t="n">
        <v>6734720</v>
      </c>
      <c r="D56" s="5" t="n">
        <v>5218153</v>
      </c>
      <c r="E56" s="6" t="n">
        <f aca="false">C56-D56</f>
        <v>1516567</v>
      </c>
      <c r="F56" s="7" t="n">
        <f aca="false">IF(D56=0,"",E56/ABS(D56))</f>
        <v>0.290632911683502</v>
      </c>
      <c r="G56" s="4" t="str">
        <f aca="false">IF(AND(ABS(E56)&gt;=Parametros!$B$6,OR(D56=0,ABS(N(F56))&gt;=0.1)),"SIM","não")</f>
        <v>SIM</v>
      </c>
      <c r="H56" s="4" t="s">
        <v>168</v>
      </c>
      <c r="I56" s="4" t="s">
        <v>34</v>
      </c>
      <c r="J56" s="4" t="s">
        <v>169</v>
      </c>
    </row>
    <row r="57" customFormat="false" ht="15" hidden="false" customHeight="false" outlineLevel="0" collapsed="false">
      <c r="A57" s="4" t="s">
        <v>170</v>
      </c>
      <c r="B57" s="4" t="s">
        <v>171</v>
      </c>
      <c r="C57" s="5" t="n">
        <v>2676433</v>
      </c>
      <c r="D57" s="5" t="n">
        <v>2748428</v>
      </c>
      <c r="E57" s="6" t="n">
        <f aca="false">C57-D57</f>
        <v>-71995</v>
      </c>
      <c r="F57" s="7" t="n">
        <f aca="false">IF(D57=0,"",E57/ABS(D57))</f>
        <v>-0.0261949739996827</v>
      </c>
      <c r="G57" s="4" t="str">
        <f aca="false">IF(AND(ABS(E57)&gt;=Parametros!$B$6,OR(D57=0,ABS(N(F57))&gt;=0.1)),"SIM","não")</f>
        <v>não</v>
      </c>
      <c r="H57" s="4"/>
      <c r="I57" s="4"/>
      <c r="J57" s="4"/>
    </row>
    <row r="58" customFormat="false" ht="28.35" hidden="false" customHeight="false" outlineLevel="0" collapsed="false">
      <c r="A58" s="4" t="s">
        <v>172</v>
      </c>
      <c r="B58" s="4" t="s">
        <v>173</v>
      </c>
      <c r="C58" s="5" t="n">
        <v>-5708038</v>
      </c>
      <c r="D58" s="5" t="n">
        <v>-4229120</v>
      </c>
      <c r="E58" s="6" t="n">
        <f aca="false">C58-D58</f>
        <v>-1478918</v>
      </c>
      <c r="F58" s="7" t="n">
        <f aca="false">IF(D58=0,"",E58/ABS(D58))</f>
        <v>-0.34969875529661</v>
      </c>
      <c r="G58" s="4" t="str">
        <f aca="false">IF(AND(ABS(E58)&gt;=Parametros!$B$6,OR(D58=0,ABS(N(F58))&gt;=0.1)),"SIM","não")</f>
        <v>SIM</v>
      </c>
      <c r="H58" s="4" t="s">
        <v>174</v>
      </c>
      <c r="I58" s="4" t="s">
        <v>29</v>
      </c>
      <c r="J58" s="4" t="s">
        <v>175</v>
      </c>
    </row>
    <row r="59" customFormat="false" ht="15" hidden="false" customHeight="false" outlineLevel="0" collapsed="false">
      <c r="A59" s="4" t="s">
        <v>176</v>
      </c>
      <c r="B59" s="4" t="s">
        <v>177</v>
      </c>
      <c r="C59" s="5" t="n">
        <v>3703115</v>
      </c>
      <c r="D59" s="5" t="n">
        <v>3737461</v>
      </c>
      <c r="E59" s="6" t="n">
        <f aca="false">C59-D59</f>
        <v>-34346</v>
      </c>
      <c r="F59" s="7" t="n">
        <f aca="false">IF(D59=0,"",E59/ABS(D59))</f>
        <v>-0.00918966110950723</v>
      </c>
      <c r="G59" s="4" t="str">
        <f aca="false">IF(AND(ABS(E59)&gt;=Parametros!$B$6,OR(D59=0,ABS(N(F59))&gt;=0.1)),"SIM","não")</f>
        <v>não</v>
      </c>
      <c r="H59" s="4"/>
      <c r="I59" s="4"/>
      <c r="J59" s="4"/>
    </row>
    <row r="60" customFormat="false" ht="28.35" hidden="false" customHeight="false" outlineLevel="0" collapsed="false">
      <c r="A60" s="4" t="s">
        <v>178</v>
      </c>
      <c r="B60" s="4" t="s">
        <v>179</v>
      </c>
      <c r="C60" s="5" t="n">
        <v>159463</v>
      </c>
      <c r="D60" s="5" t="n">
        <v>1152707</v>
      </c>
      <c r="E60" s="6" t="n">
        <f aca="false">C60-D60</f>
        <v>-993244</v>
      </c>
      <c r="F60" s="7" t="n">
        <f aca="false">IF(D60=0,"",E60/ABS(D60))</f>
        <v>-0.861662156992193</v>
      </c>
      <c r="G60" s="4" t="str">
        <f aca="false">IF(AND(ABS(E60)&gt;=Parametros!$B$6,OR(D60=0,ABS(N(F60))&gt;=0.1)),"SIM","não")</f>
        <v>SIM</v>
      </c>
      <c r="H60" s="4" t="s">
        <v>180</v>
      </c>
      <c r="I60" s="4" t="s">
        <v>34</v>
      </c>
      <c r="J60" s="4" t="s">
        <v>181</v>
      </c>
    </row>
    <row r="61" customFormat="false" ht="15" hidden="false" customHeight="false" outlineLevel="0" collapsed="false">
      <c r="A61" s="4" t="s">
        <v>182</v>
      </c>
      <c r="B61" s="4" t="s">
        <v>183</v>
      </c>
      <c r="C61" s="5" t="n">
        <v>-252947</v>
      </c>
      <c r="D61" s="5" t="n">
        <v>-347511</v>
      </c>
      <c r="E61" s="6" t="n">
        <f aca="false">C61-D61</f>
        <v>94564</v>
      </c>
      <c r="F61" s="7" t="n">
        <f aca="false">IF(D61=0,"",E61/ABS(D61))</f>
        <v>0.272118004897687</v>
      </c>
      <c r="G61" s="4" t="str">
        <f aca="false">IF(AND(ABS(E61)&gt;=Parametros!$B$6,OR(D61=0,ABS(N(F61))&gt;=0.1)),"SIM","não")</f>
        <v>SIM</v>
      </c>
      <c r="H61" s="4" t="s">
        <v>184</v>
      </c>
      <c r="I61" s="4" t="s">
        <v>46</v>
      </c>
      <c r="J61" s="4" t="s">
        <v>47</v>
      </c>
    </row>
    <row r="62" customFormat="false" ht="15" hidden="false" customHeight="false" outlineLevel="0" collapsed="false">
      <c r="A62" s="4" t="s">
        <v>185</v>
      </c>
      <c r="B62" s="4" t="s">
        <v>186</v>
      </c>
      <c r="C62" s="5" t="n">
        <v>-17537</v>
      </c>
      <c r="D62" s="5" t="n">
        <v>-17077</v>
      </c>
      <c r="E62" s="6" t="n">
        <f aca="false">C62-D62</f>
        <v>-460</v>
      </c>
      <c r="F62" s="7" t="n">
        <f aca="false">IF(D62=0,"",E62/ABS(D62))</f>
        <v>-0.0269368155999297</v>
      </c>
      <c r="G62" s="4" t="str">
        <f aca="false">IF(AND(ABS(E62)&gt;=Parametros!$B$6,OR(D62=0,ABS(N(F62))&gt;=0.1)),"SIM","não")</f>
        <v>não</v>
      </c>
      <c r="H62" s="4"/>
      <c r="I62" s="4"/>
      <c r="J62" s="4"/>
    </row>
    <row r="63" customFormat="false" ht="15" hidden="false" customHeight="false" outlineLevel="0" collapsed="false">
      <c r="A63" s="4" t="s">
        <v>187</v>
      </c>
      <c r="B63" s="4" t="s">
        <v>188</v>
      </c>
      <c r="C63" s="5" t="n">
        <v>28763</v>
      </c>
      <c r="D63" s="5" t="n">
        <v>21120</v>
      </c>
      <c r="E63" s="6" t="n">
        <f aca="false">C63-D63</f>
        <v>7643</v>
      </c>
      <c r="F63" s="7" t="n">
        <f aca="false">IF(D63=0,"",E63/ABS(D63))</f>
        <v>0.36188446969697</v>
      </c>
      <c r="G63" s="4" t="str">
        <f aca="false">IF(AND(ABS(E63)&gt;=Parametros!$B$6,OR(D63=0,ABS(N(F63))&gt;=0.1)),"SIM","não")</f>
        <v>não</v>
      </c>
      <c r="H63" s="4"/>
      <c r="I63" s="4"/>
      <c r="J63" s="4"/>
    </row>
    <row r="64" customFormat="false" ht="15" hidden="false" customHeight="false" outlineLevel="0" collapsed="false">
      <c r="A64" s="4" t="s">
        <v>189</v>
      </c>
      <c r="B64" s="4" t="s">
        <v>190</v>
      </c>
      <c r="C64" s="5" t="n">
        <v>511049</v>
      </c>
      <c r="D64" s="5" t="n">
        <v>584578</v>
      </c>
      <c r="E64" s="6" t="n">
        <f aca="false">C64-D64</f>
        <v>-73529</v>
      </c>
      <c r="F64" s="7" t="n">
        <f aca="false">IF(D64=0,"",E64/ABS(D64))</f>
        <v>-0.125781332858917</v>
      </c>
      <c r="G64" s="4" t="str">
        <f aca="false">IF(AND(ABS(E64)&gt;=Parametros!$B$6,OR(D64=0,ABS(N(F64))&gt;=0.1)),"SIM","não")</f>
        <v>não</v>
      </c>
      <c r="H64" s="4"/>
      <c r="I64" s="4"/>
      <c r="J64" s="4"/>
    </row>
    <row r="65" customFormat="false" ht="15" hidden="false" customHeight="false" outlineLevel="0" collapsed="false">
      <c r="A65" s="4" t="s">
        <v>191</v>
      </c>
      <c r="B65" s="4" t="s">
        <v>192</v>
      </c>
      <c r="C65" s="5" t="n">
        <v>428791</v>
      </c>
      <c r="D65" s="5" t="n">
        <v>1393817</v>
      </c>
      <c r="E65" s="6" t="n">
        <f aca="false">C65-D65</f>
        <v>-965026</v>
      </c>
      <c r="F65" s="7" t="n">
        <f aca="false">IF(D65=0,"",E65/ABS(D65))</f>
        <v>-0.692362053268112</v>
      </c>
      <c r="G65" s="4" t="str">
        <f aca="false">IF(AND(ABS(E65)&gt;=Parametros!$B$6,OR(D65=0,ABS(N(F65))&gt;=0.1)),"SIM","não")</f>
        <v>SIM</v>
      </c>
      <c r="H65" s="4" t="s">
        <v>57</v>
      </c>
      <c r="I65" s="4" t="s">
        <v>58</v>
      </c>
      <c r="J65" s="4" t="s">
        <v>47</v>
      </c>
    </row>
    <row r="66" customFormat="false" ht="28.35" hidden="false" customHeight="false" outlineLevel="0" collapsed="false">
      <c r="A66" s="4" t="s">
        <v>193</v>
      </c>
      <c r="B66" s="4" t="s">
        <v>194</v>
      </c>
      <c r="C66" s="5" t="n">
        <v>4131906</v>
      </c>
      <c r="D66" s="5" t="n">
        <v>5131278</v>
      </c>
      <c r="E66" s="6" t="n">
        <f aca="false">C66-D66</f>
        <v>-999372</v>
      </c>
      <c r="F66" s="7" t="n">
        <f aca="false">IF(D66=0,"",E66/ABS(D66))</f>
        <v>-0.194760837358646</v>
      </c>
      <c r="G66" s="4" t="str">
        <f aca="false">IF(AND(ABS(E66)&gt;=Parametros!$B$6,OR(D66=0,ABS(N(F66))&gt;=0.1)),"SIM","não")</f>
        <v>SIM</v>
      </c>
      <c r="H66" s="4" t="s">
        <v>195</v>
      </c>
      <c r="I66" s="4" t="s">
        <v>29</v>
      </c>
      <c r="J66" s="4" t="s">
        <v>196</v>
      </c>
    </row>
    <row r="67" customFormat="false" ht="28.35" hidden="false" customHeight="false" outlineLevel="0" collapsed="false">
      <c r="A67" s="4" t="s">
        <v>197</v>
      </c>
      <c r="B67" s="4" t="s">
        <v>198</v>
      </c>
      <c r="C67" s="5" t="n">
        <v>445858</v>
      </c>
      <c r="D67" s="5" t="n">
        <v>283837</v>
      </c>
      <c r="E67" s="6" t="n">
        <f aca="false">C67-D67</f>
        <v>162021</v>
      </c>
      <c r="F67" s="7" t="n">
        <f aca="false">IF(D67=0,"",E67/ABS(D67))</f>
        <v>0.57082409974739</v>
      </c>
      <c r="G67" s="4" t="str">
        <f aca="false">IF(AND(ABS(E67)&gt;=Parametros!$B$6,OR(D67=0,ABS(N(F67))&gt;=0.1)),"SIM","não")</f>
        <v>SIM</v>
      </c>
      <c r="H67" s="4" t="s">
        <v>199</v>
      </c>
      <c r="I67" s="4" t="s">
        <v>34</v>
      </c>
      <c r="J67" s="4" t="s">
        <v>122</v>
      </c>
    </row>
    <row r="68" customFormat="false" ht="28.35" hidden="false" customHeight="false" outlineLevel="0" collapsed="false">
      <c r="A68" s="4" t="s">
        <v>200</v>
      </c>
      <c r="B68" s="4" t="s">
        <v>201</v>
      </c>
      <c r="C68" s="5" t="n">
        <v>-1797455</v>
      </c>
      <c r="D68" s="5" t="n">
        <v>-1246454</v>
      </c>
      <c r="E68" s="6" t="n">
        <f aca="false">C68-D68</f>
        <v>-551001</v>
      </c>
      <c r="F68" s="7" t="n">
        <f aca="false">IF(D68=0,"",E68/ABS(D68))</f>
        <v>-0.442054821116543</v>
      </c>
      <c r="G68" s="4" t="str">
        <f aca="false">IF(AND(ABS(E68)&gt;=Parametros!$B$6,OR(D68=0,ABS(N(F68))&gt;=0.1)),"SIM","não")</f>
        <v>SIM</v>
      </c>
      <c r="H68" s="4" t="s">
        <v>202</v>
      </c>
      <c r="I68" s="4" t="s">
        <v>34</v>
      </c>
      <c r="J68" s="4" t="s">
        <v>122</v>
      </c>
    </row>
    <row r="69" customFormat="false" ht="28.35" hidden="false" customHeight="false" outlineLevel="0" collapsed="false">
      <c r="A69" s="4" t="s">
        <v>203</v>
      </c>
      <c r="B69" s="4" t="s">
        <v>204</v>
      </c>
      <c r="C69" s="5" t="n">
        <v>-1351597</v>
      </c>
      <c r="D69" s="5" t="n">
        <v>-962617</v>
      </c>
      <c r="E69" s="6" t="n">
        <f aca="false">C69-D69</f>
        <v>-388980</v>
      </c>
      <c r="F69" s="7" t="n">
        <f aca="false">IF(D69=0,"",E69/ABS(D69))</f>
        <v>-0.40408594487735</v>
      </c>
      <c r="G69" s="4" t="str">
        <f aca="false">IF(AND(ABS(E69)&gt;=Parametros!$B$6,OR(D69=0,ABS(N(F69))&gt;=0.1)),"SIM","não")</f>
        <v>SIM</v>
      </c>
      <c r="H69" s="4" t="s">
        <v>205</v>
      </c>
      <c r="I69" s="4" t="s">
        <v>34</v>
      </c>
      <c r="J69" s="4" t="s">
        <v>122</v>
      </c>
    </row>
    <row r="70" customFormat="false" ht="28.35" hidden="false" customHeight="false" outlineLevel="0" collapsed="false">
      <c r="A70" s="4" t="s">
        <v>206</v>
      </c>
      <c r="B70" s="4" t="s">
        <v>207</v>
      </c>
      <c r="C70" s="5" t="n">
        <v>2780309</v>
      </c>
      <c r="D70" s="5" t="n">
        <v>4168661</v>
      </c>
      <c r="E70" s="6" t="n">
        <f aca="false">C70-D70</f>
        <v>-1388352</v>
      </c>
      <c r="F70" s="7" t="n">
        <f aca="false">IF(D70=0,"",E70/ABS(D70))</f>
        <v>-0.33304507130707</v>
      </c>
      <c r="G70" s="4" t="str">
        <f aca="false">IF(AND(ABS(E70)&gt;=Parametros!$B$6,OR(D70=0,ABS(N(F70))&gt;=0.1)),"SIM","não")</f>
        <v>SIM</v>
      </c>
      <c r="H70" s="4" t="s">
        <v>208</v>
      </c>
      <c r="I70" s="4" t="s">
        <v>29</v>
      </c>
      <c r="J70" s="4" t="s">
        <v>209</v>
      </c>
    </row>
    <row r="71" customFormat="false" ht="15" hidden="false" customHeight="false" outlineLevel="0" collapsed="false">
      <c r="A71" s="4" t="s">
        <v>210</v>
      </c>
      <c r="B71" s="4" t="s">
        <v>211</v>
      </c>
      <c r="C71" s="5" t="n">
        <v>-112015</v>
      </c>
      <c r="D71" s="5" t="n">
        <v>-59207</v>
      </c>
      <c r="E71" s="6" t="n">
        <f aca="false">C71-D71</f>
        <v>-52808</v>
      </c>
      <c r="F71" s="7" t="n">
        <f aca="false">IF(D71=0,"",E71/ABS(D71))</f>
        <v>-0.891921563328661</v>
      </c>
      <c r="G71" s="4" t="str">
        <f aca="false">IF(AND(ABS(E71)&gt;=Parametros!$B$6,OR(D71=0,ABS(N(F71))&gt;=0.1)),"SIM","não")</f>
        <v>não</v>
      </c>
      <c r="H71" s="4"/>
      <c r="I71" s="4"/>
      <c r="J71" s="4"/>
    </row>
    <row r="72" customFormat="false" ht="15" hidden="false" customHeight="false" outlineLevel="0" collapsed="false">
      <c r="A72" s="4" t="s">
        <v>212</v>
      </c>
      <c r="B72" s="4" t="s">
        <v>213</v>
      </c>
      <c r="C72" s="5" t="n">
        <v>-157279</v>
      </c>
      <c r="D72" s="5" t="n">
        <v>-556723</v>
      </c>
      <c r="E72" s="6" t="n">
        <f aca="false">C72-D72</f>
        <v>399444</v>
      </c>
      <c r="F72" s="7" t="n">
        <f aca="false">IF(D72=0,"",E72/ABS(D72))</f>
        <v>0.71749146343873</v>
      </c>
      <c r="G72" s="4" t="str">
        <f aca="false">IF(AND(ABS(E72)&gt;=Parametros!$B$6,OR(D72=0,ABS(N(F72))&gt;=0.1)),"SIM","não")</f>
        <v>SIM</v>
      </c>
      <c r="H72" s="4" t="s">
        <v>214</v>
      </c>
      <c r="I72" s="4" t="s">
        <v>46</v>
      </c>
      <c r="J72" s="4" t="s">
        <v>47</v>
      </c>
    </row>
    <row r="73" customFormat="false" ht="15" hidden="false" customHeight="false" outlineLevel="0" collapsed="false">
      <c r="A73" s="4" t="s">
        <v>215</v>
      </c>
      <c r="B73" s="4" t="s">
        <v>216</v>
      </c>
      <c r="C73" s="5" t="n">
        <v>-269294</v>
      </c>
      <c r="D73" s="5" t="n">
        <v>-615930</v>
      </c>
      <c r="E73" s="6" t="n">
        <f aca="false">C73-D73</f>
        <v>346636</v>
      </c>
      <c r="F73" s="7" t="n">
        <f aca="false">IF(D73=0,"",E73/ABS(D73))</f>
        <v>0.562784732031237</v>
      </c>
      <c r="G73" s="4" t="str">
        <f aca="false">IF(AND(ABS(E73)&gt;=Parametros!$B$6,OR(D73=0,ABS(N(F73))&gt;=0.1)),"SIM","não")</f>
        <v>SIM</v>
      </c>
      <c r="H73" s="4" t="s">
        <v>57</v>
      </c>
      <c r="I73" s="4" t="s">
        <v>58</v>
      </c>
      <c r="J73" s="4" t="s">
        <v>47</v>
      </c>
    </row>
    <row r="74" customFormat="false" ht="28.35" hidden="false" customHeight="false" outlineLevel="0" collapsed="false">
      <c r="A74" s="4" t="s">
        <v>217</v>
      </c>
      <c r="B74" s="4" t="s">
        <v>218</v>
      </c>
      <c r="C74" s="5" t="n">
        <v>2511015</v>
      </c>
      <c r="D74" s="5" t="n">
        <v>3552731</v>
      </c>
      <c r="E74" s="6" t="n">
        <f aca="false">C74-D74</f>
        <v>-1041716</v>
      </c>
      <c r="F74" s="7" t="n">
        <f aca="false">IF(D74=0,"",E74/ABS(D74))</f>
        <v>-0.293215557271294</v>
      </c>
      <c r="G74" s="4" t="str">
        <f aca="false">IF(AND(ABS(E74)&gt;=Parametros!$B$6,OR(D74=0,ABS(N(F74))&gt;=0.1)),"SIM","não")</f>
        <v>SIM</v>
      </c>
      <c r="H74" s="4" t="s">
        <v>219</v>
      </c>
      <c r="I74" s="4" t="s">
        <v>29</v>
      </c>
      <c r="J74" s="4" t="s">
        <v>47</v>
      </c>
    </row>
    <row r="75" customFormat="false" ht="28.35" hidden="false" customHeight="false" outlineLevel="0" collapsed="false">
      <c r="A75" s="4" t="s">
        <v>220</v>
      </c>
      <c r="B75" s="4" t="s">
        <v>221</v>
      </c>
      <c r="C75" s="5" t="n">
        <v>2447899</v>
      </c>
      <c r="D75" s="5" t="n">
        <v>3498416</v>
      </c>
      <c r="E75" s="6" t="n">
        <f aca="false">C75-D75</f>
        <v>-1050517</v>
      </c>
      <c r="F75" s="7" t="n">
        <f aca="false">IF(D75=0,"",E75/ABS(D75))</f>
        <v>-0.300283614069911</v>
      </c>
      <c r="G75" s="4" t="str">
        <f aca="false">IF(AND(ABS(E75)&gt;=Parametros!$B$6,OR(D75=0,ABS(N(F75))&gt;=0.1)),"SIM","não")</f>
        <v>SIM</v>
      </c>
      <c r="H75" s="4" t="s">
        <v>222</v>
      </c>
      <c r="I75" s="4" t="s">
        <v>29</v>
      </c>
      <c r="J75" s="4" t="s">
        <v>47</v>
      </c>
    </row>
    <row r="76" customFormat="false" ht="15" hidden="false" customHeight="false" outlineLevel="0" collapsed="false">
      <c r="A76" s="4" t="s">
        <v>223</v>
      </c>
      <c r="B76" s="4" t="s">
        <v>224</v>
      </c>
      <c r="C76" s="5" t="n">
        <v>63116</v>
      </c>
      <c r="D76" s="5" t="n">
        <v>54315</v>
      </c>
      <c r="E76" s="6" t="n">
        <f aca="false">C76-D76</f>
        <v>8801</v>
      </c>
      <c r="F76" s="7" t="n">
        <f aca="false">IF(D76=0,"",E76/ABS(D76))</f>
        <v>0.162036269907024</v>
      </c>
      <c r="G76" s="4" t="str">
        <f aca="false">IF(AND(ABS(E76)&gt;=Parametros!$B$6,OR(D76=0,ABS(N(F76))&gt;=0.1)),"SIM","não")</f>
        <v>não</v>
      </c>
      <c r="H76" s="4"/>
      <c r="I76" s="4"/>
      <c r="J76" s="4"/>
    </row>
    <row r="78" customFormat="false" ht="15" hidden="false" customHeight="false" outlineLevel="0" collapsed="false">
      <c r="A78" s="4"/>
      <c r="B78" s="4" t="s">
        <v>225</v>
      </c>
      <c r="C78" s="4"/>
      <c r="D78" s="4"/>
      <c r="E78" s="4"/>
      <c r="F78" s="4"/>
      <c r="G78" s="4" t="n">
        <f aca="false">COUNTIF(G2:G76,"SIM")</f>
        <v>31</v>
      </c>
    </row>
    <row r="79" customFormat="false" ht="15" hidden="false" customHeight="false" outlineLevel="0" collapsed="false">
      <c r="A79" s="4"/>
      <c r="B79" s="4" t="s">
        <v>226</v>
      </c>
      <c r="C79" s="4"/>
      <c r="D79" s="4"/>
      <c r="E79" s="4"/>
      <c r="F79" s="4"/>
      <c r="G79" s="4" t="n">
        <f aca="false">SUMPRODUCT((G2:G76="SIM")*(LEFT(I2:I76,4)&lt;&gt;"Docu")*(LEFT(I2:I76,4)&lt;&gt;"Subt"))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227</v>
      </c>
      <c r="B1" s="3" t="s">
        <v>6</v>
      </c>
      <c r="C1" s="3" t="s">
        <v>228</v>
      </c>
    </row>
    <row r="2" customFormat="false" ht="41.75" hidden="false" customHeight="false" outlineLevel="0" collapsed="false">
      <c r="A2" s="4" t="s">
        <v>229</v>
      </c>
      <c r="B2" s="6"/>
      <c r="C2" s="4" t="s">
        <v>230</v>
      </c>
    </row>
    <row r="3" customFormat="false" ht="15" hidden="false" customHeight="false" outlineLevel="0" collapsed="false">
      <c r="A3" s="4" t="s">
        <v>231</v>
      </c>
      <c r="B3" s="5" t="n">
        <v>5092819</v>
      </c>
      <c r="C3" s="4" t="s">
        <v>232</v>
      </c>
    </row>
    <row r="4" customFormat="false" ht="15" hidden="false" customHeight="false" outlineLevel="0" collapsed="false">
      <c r="A4" s="4" t="s">
        <v>233</v>
      </c>
      <c r="B4" s="5" t="n">
        <v>4461867</v>
      </c>
      <c r="C4" s="4" t="s">
        <v>175</v>
      </c>
    </row>
    <row r="5" customFormat="false" ht="15" hidden="false" customHeight="false" outlineLevel="0" collapsed="false">
      <c r="A5" s="4" t="s">
        <v>234</v>
      </c>
      <c r="B5" s="5" t="n">
        <v>3634525</v>
      </c>
      <c r="C5" s="4" t="s">
        <v>175</v>
      </c>
    </row>
    <row r="6" customFormat="false" ht="15" hidden="false" customHeight="false" outlineLevel="0" collapsed="false">
      <c r="A6" s="4" t="s">
        <v>235</v>
      </c>
      <c r="B6" s="8" t="n">
        <f aca="false">B4/B5-1</f>
        <v>0.227634147515838</v>
      </c>
      <c r="C6" s="4" t="s">
        <v>236</v>
      </c>
    </row>
    <row r="7" customFormat="false" ht="15" hidden="false" customHeight="false" outlineLevel="0" collapsed="false">
      <c r="A7" s="4" t="s">
        <v>237</v>
      </c>
      <c r="B7" s="6" t="n">
        <f aca="false">B3*(1+B6)</f>
        <v>6252118.51151746</v>
      </c>
      <c r="C7" s="4" t="s">
        <v>238</v>
      </c>
    </row>
    <row r="8" customFormat="false" ht="15" hidden="false" customHeight="false" outlineLevel="0" collapsed="false">
      <c r="A8" s="4" t="s">
        <v>239</v>
      </c>
      <c r="B8" s="5" t="n">
        <v>6330048</v>
      </c>
      <c r="C8" s="4" t="s">
        <v>240</v>
      </c>
    </row>
    <row r="9" customFormat="false" ht="15" hidden="false" customHeight="false" outlineLevel="0" collapsed="false">
      <c r="A9" s="4" t="s">
        <v>241</v>
      </c>
      <c r="B9" s="6" t="n">
        <f aca="false">B8-B7</f>
        <v>77929.4884825395</v>
      </c>
      <c r="C9" s="4"/>
    </row>
    <row r="10" customFormat="false" ht="15" hidden="false" customHeight="false" outlineLevel="0" collapsed="false">
      <c r="A10" s="4" t="s">
        <v>242</v>
      </c>
      <c r="B10" s="6" t="n">
        <f aca="false">Parametros!B5</f>
        <v>45000</v>
      </c>
      <c r="C10" s="4" t="s">
        <v>243</v>
      </c>
    </row>
    <row r="11" customFormat="false" ht="15" hidden="false" customHeight="false" outlineLevel="0" collapsed="false">
      <c r="A11" s="4" t="s">
        <v>244</v>
      </c>
      <c r="B11" s="6" t="str">
        <f aca="false">IF(ABS(B9)&gt;B10,"SIM","não")</f>
        <v>SIM</v>
      </c>
      <c r="C11" s="4" t="s">
        <v>245</v>
      </c>
    </row>
    <row r="12" customFormat="false" ht="28.35" hidden="false" customHeight="false" outlineLevel="0" collapsed="false">
      <c r="A12" s="4" t="s">
        <v>246</v>
      </c>
      <c r="B12" s="6"/>
      <c r="C12" s="4" t="s">
        <v>247</v>
      </c>
    </row>
    <row r="13" customFormat="false" ht="95.5" hidden="false" customHeight="false" outlineLevel="0" collapsed="false">
      <c r="A13" s="4" t="s">
        <v>248</v>
      </c>
      <c r="B13" s="6" t="s">
        <v>249</v>
      </c>
      <c r="C13" s="4" t="s">
        <v>250</v>
      </c>
    </row>
    <row r="14" customFormat="false" ht="15" hidden="false" customHeight="false" outlineLevel="0" collapsed="false">
      <c r="A14" s="4" t="s">
        <v>251</v>
      </c>
      <c r="B14" s="8" t="n">
        <f aca="false">B8/B3-1</f>
        <v>0.242935984962356</v>
      </c>
      <c r="C14" s="4"/>
    </row>
    <row r="15" customFormat="false" ht="28.35" hidden="false" customHeight="false" outlineLevel="0" collapsed="false">
      <c r="A15" s="4" t="s">
        <v>252</v>
      </c>
      <c r="B15" s="6" t="n">
        <f aca="false">B3*(B14-B6)</f>
        <v>77929.4884825391</v>
      </c>
      <c r="C15" s="4" t="s">
        <v>253</v>
      </c>
    </row>
    <row r="16" customFormat="false" ht="41.75" hidden="false" customHeight="false" outlineLevel="0" collapsed="false">
      <c r="A16" s="4" t="s">
        <v>254</v>
      </c>
      <c r="B16" s="6" t="n">
        <f aca="false">B9-B15</f>
        <v>4.65661287307739E-010</v>
      </c>
      <c r="C16" s="4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227</v>
      </c>
      <c r="B1" s="3" t="s">
        <v>6</v>
      </c>
      <c r="C1" s="3" t="s">
        <v>228</v>
      </c>
    </row>
    <row r="2" customFormat="false" ht="15" hidden="false" customHeight="false" outlineLevel="0" collapsed="false">
      <c r="A2" s="4" t="s">
        <v>256</v>
      </c>
      <c r="B2" s="6"/>
      <c r="C2" s="4"/>
    </row>
    <row r="3" customFormat="false" ht="15" hidden="false" customHeight="false" outlineLevel="0" collapsed="false">
      <c r="A3" s="4" t="s">
        <v>257</v>
      </c>
      <c r="B3" s="5" t="n">
        <v>1363819</v>
      </c>
      <c r="C3" s="4" t="s">
        <v>175</v>
      </c>
    </row>
    <row r="4" customFormat="false" ht="15" hidden="false" customHeight="false" outlineLevel="0" collapsed="false">
      <c r="A4" s="4" t="s">
        <v>258</v>
      </c>
      <c r="B4" s="5" t="n">
        <v>4308721</v>
      </c>
      <c r="C4" s="4" t="s">
        <v>259</v>
      </c>
    </row>
    <row r="5" customFormat="false" ht="15" hidden="false" customHeight="false" outlineLevel="0" collapsed="false">
      <c r="A5" s="4" t="s">
        <v>260</v>
      </c>
      <c r="B5" s="5" t="n">
        <v>4694108</v>
      </c>
      <c r="C5" s="4" t="s">
        <v>259</v>
      </c>
    </row>
    <row r="6" customFormat="false" ht="28.35" hidden="false" customHeight="false" outlineLevel="0" collapsed="false">
      <c r="A6" s="4" t="s">
        <v>261</v>
      </c>
      <c r="B6" s="9" t="n">
        <f aca="false">(0.5*B4+0.5*B5)/B4</f>
        <v>1.04472173993164</v>
      </c>
      <c r="C6" s="4" t="s">
        <v>262</v>
      </c>
    </row>
    <row r="7" customFormat="false" ht="15" hidden="false" customHeight="false" outlineLevel="0" collapsed="false">
      <c r="A7" s="4" t="s">
        <v>263</v>
      </c>
      <c r="B7" s="6" t="n">
        <f aca="false">B3*B6</f>
        <v>1424811.35863183</v>
      </c>
      <c r="C7" s="4"/>
    </row>
    <row r="8" customFormat="false" ht="15" hidden="false" customHeight="false" outlineLevel="0" collapsed="false">
      <c r="A8" s="4" t="s">
        <v>264</v>
      </c>
      <c r="B8" s="5" t="n">
        <v>1264867</v>
      </c>
      <c r="C8" s="4" t="s">
        <v>175</v>
      </c>
    </row>
    <row r="9" customFormat="false" ht="15" hidden="false" customHeight="false" outlineLevel="0" collapsed="false">
      <c r="A9" s="4" t="s">
        <v>265</v>
      </c>
      <c r="B9" s="6" t="n">
        <f aca="false">B8-B7</f>
        <v>-159944.35863183</v>
      </c>
      <c r="C9" s="4"/>
    </row>
    <row r="10" customFormat="false" ht="15" hidden="false" customHeight="false" outlineLevel="0" collapsed="false">
      <c r="A10" s="4" t="s">
        <v>266</v>
      </c>
      <c r="B10" s="6" t="n">
        <f aca="false">Parametros!B5</f>
        <v>45000</v>
      </c>
      <c r="C10" s="4"/>
    </row>
    <row r="11" customFormat="false" ht="15" hidden="false" customHeight="false" outlineLevel="0" collapsed="false">
      <c r="A11" s="4" t="s">
        <v>244</v>
      </c>
      <c r="B11" s="6" t="str">
        <f aca="false">IF(ABS(B9)&gt;B10,"SIM","não")</f>
        <v>SIM</v>
      </c>
      <c r="C11" s="4"/>
    </row>
    <row r="12" customFormat="false" ht="41.75" hidden="false" customHeight="false" outlineLevel="0" collapsed="false">
      <c r="A12" s="4" t="s">
        <v>267</v>
      </c>
      <c r="B12" s="6" t="n">
        <f aca="false">-129508-288+30844</f>
        <v>-98952</v>
      </c>
      <c r="C12" s="4" t="s">
        <v>268</v>
      </c>
    </row>
    <row r="13" customFormat="false" ht="15" hidden="false" customHeight="false" outlineLevel="0" collapsed="false">
      <c r="A13" s="4" t="s">
        <v>269</v>
      </c>
      <c r="B13" s="6" t="n">
        <f aca="false">B8-B3</f>
        <v>-98952</v>
      </c>
      <c r="C13" s="4" t="s">
        <v>270</v>
      </c>
    </row>
    <row r="14" customFormat="false" ht="15" hidden="false" customHeight="false" outlineLevel="0" collapsed="false">
      <c r="A14" s="4" t="s">
        <v>271</v>
      </c>
      <c r="B14" s="6" t="str">
        <f aca="false">IF(B12=B13,"SIM","NÃO")</f>
        <v>SIM</v>
      </c>
      <c r="C14" s="4"/>
    </row>
    <row r="15" customFormat="false" ht="41.75" hidden="false" customHeight="false" outlineLevel="0" collapsed="false">
      <c r="A15" s="4" t="s">
        <v>272</v>
      </c>
      <c r="B15" s="6"/>
      <c r="C15" s="4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227</v>
      </c>
      <c r="B1" s="3" t="s">
        <v>6</v>
      </c>
      <c r="C1" s="3" t="s">
        <v>228</v>
      </c>
    </row>
    <row r="2" customFormat="false" ht="15" hidden="false" customHeight="false" outlineLevel="0" collapsed="false">
      <c r="A2" s="4" t="s">
        <v>274</v>
      </c>
      <c r="B2" s="6"/>
      <c r="C2" s="4"/>
    </row>
    <row r="3" customFormat="false" ht="15" hidden="false" customHeight="false" outlineLevel="0" collapsed="false">
      <c r="A3" s="4" t="s">
        <v>275</v>
      </c>
      <c r="B3" s="5" t="n">
        <v>25826247</v>
      </c>
      <c r="C3" s="4" t="s">
        <v>276</v>
      </c>
    </row>
    <row r="4" customFormat="false" ht="15" hidden="false" customHeight="false" outlineLevel="0" collapsed="false">
      <c r="A4" s="4" t="s">
        <v>277</v>
      </c>
      <c r="B4" s="5" t="n">
        <v>30853759</v>
      </c>
      <c r="C4" s="4" t="s">
        <v>278</v>
      </c>
    </row>
    <row r="5" customFormat="false" ht="15" hidden="false" customHeight="false" outlineLevel="0" collapsed="false">
      <c r="A5" s="4" t="s">
        <v>279</v>
      </c>
      <c r="B5" s="5" t="n">
        <v>36273035</v>
      </c>
      <c r="C5" s="4" t="s">
        <v>278</v>
      </c>
    </row>
    <row r="6" customFormat="false" ht="15" hidden="false" customHeight="false" outlineLevel="0" collapsed="false">
      <c r="A6" s="4" t="s">
        <v>280</v>
      </c>
      <c r="B6" s="5" t="n">
        <v>3028571</v>
      </c>
      <c r="C6" s="4" t="s">
        <v>62</v>
      </c>
    </row>
    <row r="7" customFormat="false" ht="15" hidden="false" customHeight="false" outlineLevel="0" collapsed="false">
      <c r="A7" s="4" t="s">
        <v>281</v>
      </c>
      <c r="B7" s="5" t="n">
        <v>2949237</v>
      </c>
      <c r="C7" s="4" t="s">
        <v>62</v>
      </c>
    </row>
    <row r="8" customFormat="false" ht="15" hidden="false" customHeight="false" outlineLevel="0" collapsed="false">
      <c r="A8" s="4" t="s">
        <v>282</v>
      </c>
      <c r="B8" s="5" t="n">
        <v>-898790</v>
      </c>
      <c r="C8" s="4" t="s">
        <v>283</v>
      </c>
    </row>
    <row r="9" customFormat="false" ht="15" hidden="false" customHeight="false" outlineLevel="0" collapsed="false">
      <c r="A9" s="4" t="s">
        <v>284</v>
      </c>
      <c r="B9" s="6" t="n">
        <f aca="false">B7-B8</f>
        <v>3848027</v>
      </c>
      <c r="C9" s="4"/>
    </row>
    <row r="10" customFormat="false" ht="15" hidden="false" customHeight="false" outlineLevel="0" collapsed="false">
      <c r="A10" s="4" t="s">
        <v>285</v>
      </c>
      <c r="B10" s="8" t="n">
        <f aca="false">B6/AVERAGE(B3,B4)</f>
        <v>0.106865585017757</v>
      </c>
      <c r="C10" s="4"/>
    </row>
    <row r="11" customFormat="false" ht="15" hidden="false" customHeight="false" outlineLevel="0" collapsed="false">
      <c r="A11" s="4" t="s">
        <v>286</v>
      </c>
      <c r="B11" s="6" t="n">
        <f aca="false">B10*AVERAGE(B4,B5)</f>
        <v>3586772.05558824</v>
      </c>
      <c r="C11" s="4" t="s">
        <v>238</v>
      </c>
    </row>
    <row r="12" customFormat="false" ht="15" hidden="false" customHeight="false" outlineLevel="0" collapsed="false">
      <c r="A12" s="4" t="s">
        <v>287</v>
      </c>
      <c r="B12" s="6" t="n">
        <f aca="false">B9-B11</f>
        <v>261254.944411756</v>
      </c>
      <c r="C12" s="4"/>
    </row>
    <row r="13" customFormat="false" ht="15" hidden="false" customHeight="false" outlineLevel="0" collapsed="false">
      <c r="A13" s="4" t="s">
        <v>266</v>
      </c>
      <c r="B13" s="6" t="n">
        <f aca="false">Parametros!B5</f>
        <v>45000</v>
      </c>
      <c r="C13" s="4"/>
    </row>
    <row r="14" customFormat="false" ht="15" hidden="false" customHeight="false" outlineLevel="0" collapsed="false">
      <c r="A14" s="4" t="s">
        <v>244</v>
      </c>
      <c r="B14" s="6" t="str">
        <f aca="false">IF(ABS(B12)&gt;B13,"SIM","não")</f>
        <v>SIM</v>
      </c>
      <c r="C14" s="4"/>
    </row>
    <row r="15" customFormat="false" ht="41.75" hidden="false" customHeight="false" outlineLevel="0" collapsed="false">
      <c r="A15" s="4" t="s">
        <v>288</v>
      </c>
      <c r="B15" s="6" t="n">
        <f aca="false">241090+229917+167705+160812+19932-898790</f>
        <v>-79334</v>
      </c>
      <c r="C15" s="4" t="s">
        <v>289</v>
      </c>
    </row>
    <row r="16" customFormat="false" ht="15" hidden="false" customHeight="false" outlineLevel="0" collapsed="false">
      <c r="A16" s="4" t="s">
        <v>269</v>
      </c>
      <c r="B16" s="6" t="n">
        <f aca="false">B7-B6</f>
        <v>-79334</v>
      </c>
      <c r="C16" s="4"/>
    </row>
    <row r="17" customFormat="false" ht="15" hidden="false" customHeight="false" outlineLevel="0" collapsed="false">
      <c r="A17" s="4" t="s">
        <v>290</v>
      </c>
      <c r="B17" s="6" t="str">
        <f aca="false">IF(B15=B16,"SIM","NÃO")</f>
        <v>SIM</v>
      </c>
      <c r="C17" s="4"/>
    </row>
    <row r="18" customFormat="false" ht="28.35" hidden="false" customHeight="false" outlineLevel="0" collapsed="false">
      <c r="A18" s="4" t="s">
        <v>291</v>
      </c>
      <c r="B18" s="6" t="n">
        <f aca="false">0.005*AVERAGE(B4,B5)</f>
        <v>167816.985</v>
      </c>
      <c r="C18" s="4" t="s">
        <v>292</v>
      </c>
    </row>
    <row r="19" customFormat="false" ht="28.35" hidden="false" customHeight="false" outlineLevel="0" collapsed="false">
      <c r="A19" s="4" t="s">
        <v>293</v>
      </c>
      <c r="B19" s="6"/>
      <c r="C1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3" t="s">
        <v>294</v>
      </c>
      <c r="B1" s="3" t="s">
        <v>18</v>
      </c>
      <c r="C1" s="3" t="s">
        <v>19</v>
      </c>
      <c r="D1" s="3" t="s">
        <v>295</v>
      </c>
      <c r="E1" s="3" t="s">
        <v>296</v>
      </c>
      <c r="F1" s="3" t="s">
        <v>297</v>
      </c>
    </row>
    <row r="2" customFormat="false" ht="15" hidden="false" customHeight="false" outlineLevel="0" collapsed="false">
      <c r="A2" s="4" t="s">
        <v>298</v>
      </c>
      <c r="B2" s="8" t="n">
        <f aca="false">1-5092819/6330048</f>
        <v>0.195453336214828</v>
      </c>
      <c r="C2" s="8" t="n">
        <f aca="false">1-3634525/4461867</f>
        <v>0.185425069819428</v>
      </c>
      <c r="D2" s="4" t="s">
        <v>299</v>
      </c>
      <c r="E2" s="4" t="s">
        <v>300</v>
      </c>
      <c r="F2" s="4" t="s">
        <v>301</v>
      </c>
    </row>
    <row r="3" customFormat="false" ht="15" hidden="false" customHeight="false" outlineLevel="0" collapsed="false">
      <c r="A3" s="4" t="s">
        <v>302</v>
      </c>
      <c r="B3" s="8" t="n">
        <f aca="false">1-615219/1264867</f>
        <v>0.513609731299813</v>
      </c>
      <c r="C3" s="8" t="n">
        <f aca="false">1-594595/1363819</f>
        <v>0.564022058645612</v>
      </c>
      <c r="D3" s="4" t="s">
        <v>303</v>
      </c>
      <c r="E3" s="4" t="s">
        <v>300</v>
      </c>
      <c r="F3" s="4" t="s">
        <v>304</v>
      </c>
    </row>
    <row r="4" customFormat="false" ht="15" hidden="false" customHeight="false" outlineLevel="0" collapsed="false">
      <c r="A4" s="4" t="s">
        <v>305</v>
      </c>
      <c r="B4" s="8" t="n">
        <f aca="false">(751760+162977)/10574132</f>
        <v>0.0865070532503283</v>
      </c>
      <c r="C4" s="8" t="n">
        <f aca="false">(661538+143603)/8994821</f>
        <v>0.0895116200755968</v>
      </c>
      <c r="D4" s="4" t="s">
        <v>306</v>
      </c>
      <c r="E4" s="4" t="s">
        <v>307</v>
      </c>
      <c r="F4" s="4" t="s">
        <v>308</v>
      </c>
    </row>
    <row r="5" customFormat="false" ht="15" hidden="false" customHeight="false" outlineLevel="0" collapsed="false">
      <c r="A5" s="4" t="s">
        <v>309</v>
      </c>
      <c r="B5" s="8" t="n">
        <f aca="false">243923/10574132</f>
        <v>0.023067898149938</v>
      </c>
      <c r="C5" s="8" t="n">
        <f aca="false">219285/8994821</f>
        <v>0.0243790287766705</v>
      </c>
      <c r="D5" s="4" t="s">
        <v>306</v>
      </c>
      <c r="E5" s="4" t="s">
        <v>307</v>
      </c>
      <c r="F5" s="4" t="s">
        <v>310</v>
      </c>
    </row>
    <row r="6" customFormat="false" ht="15" hidden="false" customHeight="false" outlineLevel="0" collapsed="false">
      <c r="A6" s="4" t="s">
        <v>311</v>
      </c>
      <c r="B6" s="6" t="n">
        <f aca="false">90082+496001+669117+14696513</f>
        <v>15951713</v>
      </c>
      <c r="C6" s="6" t="n">
        <f aca="false">82056+1109914+651766+11392559</f>
        <v>13236295</v>
      </c>
      <c r="D6" s="4" t="s">
        <v>312</v>
      </c>
      <c r="E6" s="4" t="s">
        <v>300</v>
      </c>
      <c r="F6" s="4"/>
    </row>
    <row r="7" customFormat="false" ht="28.35" hidden="false" customHeight="false" outlineLevel="0" collapsed="false">
      <c r="A7" s="4" t="s">
        <v>313</v>
      </c>
      <c r="B7" s="8" t="n">
        <f aca="false">1797455/AVERAGE(B6,C6)</f>
        <v>0.123163937737717</v>
      </c>
      <c r="C7" s="8"/>
      <c r="D7" s="4" t="s">
        <v>314</v>
      </c>
      <c r="E7" s="4" t="s">
        <v>307</v>
      </c>
      <c r="F7" s="4" t="s">
        <v>315</v>
      </c>
    </row>
    <row r="8" customFormat="false" ht="15" hidden="false" customHeight="false" outlineLevel="0" collapsed="false">
      <c r="A8" s="4" t="s">
        <v>316</v>
      </c>
      <c r="B8" s="8" t="n">
        <f aca="false">2511015/9411153</f>
        <v>0.26681268490694</v>
      </c>
      <c r="C8" s="8" t="n">
        <f aca="false">3552731/7966581</f>
        <v>0.445954293316041</v>
      </c>
      <c r="D8" s="4" t="s">
        <v>317</v>
      </c>
      <c r="E8" s="4" t="s">
        <v>307</v>
      </c>
      <c r="F8" s="4" t="s">
        <v>318</v>
      </c>
    </row>
    <row r="9" customFormat="false" ht="15" hidden="false" customHeight="false" outlineLevel="0" collapsed="false">
      <c r="A9" s="4" t="s">
        <v>319</v>
      </c>
      <c r="B9" s="8" t="n">
        <f aca="false">511049/AVERAGE(4154815,4354888)</f>
        <v>0.120109714757378</v>
      </c>
      <c r="C9" s="8"/>
      <c r="D9" s="4" t="s">
        <v>320</v>
      </c>
      <c r="E9" s="4" t="s">
        <v>300</v>
      </c>
      <c r="F9" s="4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2026-10-21T08:33:22Z</dcterms:created>
  <dc:creator>openpyxl</dc:creator>
  <dc:description/>
  <dc:language>en-US</dc:language>
  <cp:lastModifiedBy/>
  <dcterms:modified xsi:type="dcterms:W3CDTF">2026-10-21T08:33:22Z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