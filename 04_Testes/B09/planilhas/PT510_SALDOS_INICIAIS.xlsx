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Relatorio_antecessor" sheetId="2" state="visible" r:id="rId4"/>
    <sheet name="Saldos_abertura" sheetId="3" state="visible" r:id="rId5"/>
    <sheet name="Rollforward_5_5" sheetId="4" state="visible" r:id="rId6"/>
    <sheet name="Politicas" sheetId="5" state="visible" r:id="rId7"/>
    <sheet name="Procedimentos_PA" sheetId="6" state="visible" r:id="rId8"/>
    <sheet name="Comparacao_text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<sst xmlns="http://schemas.openxmlformats.org/spreadsheetml/2006/main" count="283" uniqueCount="222">
  <si>
    <t xml:space="preserve">PT 510 – Saldos iniciais (auditoria inicial DIDÁTICA) – ISA Energia Brasil 2025</t>
  </si>
  <si>
    <t xml:space="preserve">Premissa didática: o "auditor atual" é o aluno; o "antecessor" é a Deloitte (auditou 2024: F0011 p.137–141). Na realidade a Deloitte também auditou 2025 (F0003 p.135–139); a troca real de auditor ocorreu em 2026 (EY; F0108).</t>
  </si>
  <si>
    <t xml:space="preserve">Somente leitura de documentos PÚBLICOS. NÃO houve acesso a papéis de trabalho do antecessor nem comunicação com ele (procedimentos [PA]).</t>
  </si>
  <si>
    <t xml:space="preserve">Células amarelas = dados transcritos (fonte e página na coluna própria) ou premissas; demais = fórmulas.</t>
  </si>
  <si>
    <t xml:space="preserve">Preparado por: matrícula 241003689 (execução assistida por IA) em 21/10/2026. Revisão humana: ____________ (em branco).</t>
  </si>
  <si>
    <t xml:space="preserve">Item</t>
  </si>
  <si>
    <t xml:space="preserve">Conteúdo (transcrição/resumo)</t>
  </si>
  <si>
    <t xml:space="preserve">Fonte</t>
  </si>
  <si>
    <t xml:space="preserve">Implicação para 2025 (NBC TA 510)</t>
  </si>
  <si>
    <t xml:space="preserve">Opinião sobre 2024</t>
  </si>
  <si>
    <t xml:space="preserve">Sem modificação ("apresentam adequadamente, em todos os aspectos relevantes")</t>
  </si>
  <si>
    <t xml:space="preserve">F0011 p.137</t>
  </si>
  <si>
    <t xml:space="preserve">Não há modificação a avaliar (510 it. 9 e 13 não acionados)</t>
  </si>
  <si>
    <t xml:space="preserve">Ênfase</t>
  </si>
  <si>
    <t xml:space="preserve">Lei 4.819/58 – contas a receber do Estado de SP de R$2.564.527 mil líquidos; "nossa opinião não contém ressalva"</t>
  </si>
  <si>
    <t xml:space="preserve">Saldo inicial de A11 (2.564.527) ligado ao risco R05; ênfase repetida em 2025 (F0003 p.135, 2.760.806)</t>
  </si>
  <si>
    <t xml:space="preserve">Principal assunto (KAM)</t>
  </si>
  <si>
    <t xml:space="preserve">Ativo contratual e receita de infraestrutura – ativo de contrato de R$15.469.771 mil (controladora) e R$22.750.025 mil (consolidado) = linha "Implementação da infraestrutura"</t>
  </si>
  <si>
    <t xml:space="preserve">F0011 p.138</t>
  </si>
  <si>
    <t xml:space="preserve">Mesmo assunto em 2025 (F0003 p.136); saldo inicial = abertura da conta da base (R01/R02)</t>
  </si>
  <si>
    <t xml:space="preserve">Outros assuntos</t>
  </si>
  <si>
    <t xml:space="preserve">DVA examinada; sem ressalva</t>
  </si>
  <si>
    <t xml:space="preserve">F0011 p.139</t>
  </si>
  <si>
    <t xml:space="preserve">Sem efeito</t>
  </si>
  <si>
    <t xml:space="preserve">Data e assinatura</t>
  </si>
  <si>
    <t xml:space="preserve">São Paulo, 24/02/2025 – Deloitte Touche Tohmatsu (Renato Vieira Lima, CRC 1SP257330/O-5)</t>
  </si>
  <si>
    <t xml:space="preserve">F0011 p.141</t>
  </si>
  <si>
    <t xml:space="preserve">Relatório anterior à aprovação das DFs de 2025</t>
  </si>
  <si>
    <t xml:space="preserve">Incerteza divulgada em 2024 que se resolveu em 2025</t>
  </si>
  <si>
    <t xml:space="preserve">RBSE – componente financeiro: decisão da ANEEL pendente ("votação interrompida por pedido de vista"); premissas da REH 2.851/2021 mantidas</t>
  </si>
  <si>
    <t xml:space="preserve">F0011 p.37–38</t>
  </si>
  <si>
    <t xml:space="preserve">Desfecho em 2025: REH 3.466/2025, −R$898.790 (F0003 p.38, 46). Evento de 2025, não erro de 2024 (ver PT 540)</t>
  </si>
  <si>
    <t xml:space="preserve">Cód.</t>
  </si>
  <si>
    <t xml:space="preserve">Linha (consolidado)</t>
  </si>
  <si>
    <t xml:space="preserve">F0003 – coluna 2024 (abertura)</t>
  </si>
  <si>
    <t xml:space="preserve">F0011 – saldo final 2024</t>
  </si>
  <si>
    <t xml:space="preserve">Diferença</t>
  </si>
  <si>
    <t xml:space="preserve">Situação</t>
  </si>
  <si>
    <t xml:space="preserve">Explicação / fonte</t>
  </si>
  <si>
    <t xml:space="preserve">A01</t>
  </si>
  <si>
    <t xml:space="preserve">Caixa e equivalentes de caixa</t>
  </si>
  <si>
    <t xml:space="preserve">F0003 p.23–24 × F0011 p.22–23 (B02)</t>
  </si>
  <si>
    <t xml:space="preserve">A02</t>
  </si>
  <si>
    <t xml:space="preserve">Aplicações financeiras</t>
  </si>
  <si>
    <t xml:space="preserve">A03</t>
  </si>
  <si>
    <t xml:space="preserve">Ativos da concessão (circulante)</t>
  </si>
  <si>
    <t xml:space="preserve">A04</t>
  </si>
  <si>
    <t xml:space="preserve">Estoques (circulante)</t>
  </si>
  <si>
    <t xml:space="preserve">A05</t>
  </si>
  <si>
    <t xml:space="preserve">Tributos e contribuições a compensar</t>
  </si>
  <si>
    <t xml:space="preserve">A06</t>
  </si>
  <si>
    <t xml:space="preserve">Instrumentos financeiros derivativos (circulante)</t>
  </si>
  <si>
    <t xml:space="preserve">A07</t>
  </si>
  <si>
    <t xml:space="preserve">Créditos com partes relacionadas</t>
  </si>
  <si>
    <t xml:space="preserve">A08</t>
  </si>
  <si>
    <t xml:space="preserve">Outros (circulante)</t>
  </si>
  <si>
    <t xml:space="preserve">A09</t>
  </si>
  <si>
    <t xml:space="preserve">Total do ativo circulante</t>
  </si>
  <si>
    <t xml:space="preserve">A10</t>
  </si>
  <si>
    <t xml:space="preserve">Ativos da concessão (realizável a LP)</t>
  </si>
  <si>
    <t xml:space="preserve">A11</t>
  </si>
  <si>
    <t xml:space="preserve">Valores a receber - Secretaria da Fazenda</t>
  </si>
  <si>
    <t xml:space="preserve">A12</t>
  </si>
  <si>
    <t xml:space="preserve">Cauções e depósitos vinculados</t>
  </si>
  <si>
    <t xml:space="preserve">A13</t>
  </si>
  <si>
    <t xml:space="preserve">Estoques (realizável a LP)</t>
  </si>
  <si>
    <t xml:space="preserve">A14</t>
  </si>
  <si>
    <t xml:space="preserve">Instrumentos financeiros derivativos (LP)</t>
  </si>
  <si>
    <t xml:space="preserve">A15</t>
  </si>
  <si>
    <t xml:space="preserve">Outros (realizável a LP)</t>
  </si>
  <si>
    <t xml:space="preserve">A16</t>
  </si>
  <si>
    <t xml:space="preserve">Total do realizável a longo prazo</t>
  </si>
  <si>
    <t xml:space="preserve">A17</t>
  </si>
  <si>
    <t xml:space="preserve">Investimentos</t>
  </si>
  <si>
    <t xml:space="preserve">A18</t>
  </si>
  <si>
    <t xml:space="preserve">Imobilizado</t>
  </si>
  <si>
    <t xml:space="preserve">A19</t>
  </si>
  <si>
    <t xml:space="preserve">Intangível</t>
  </si>
  <si>
    <t xml:space="preserve">A20</t>
  </si>
  <si>
    <t xml:space="preserve">Subtotal investimentos, imobilizado e intangível</t>
  </si>
  <si>
    <t xml:space="preserve">A21</t>
  </si>
  <si>
    <t xml:space="preserve">Total do ativo não circulante</t>
  </si>
  <si>
    <t xml:space="preserve">A22</t>
  </si>
  <si>
    <t xml:space="preserve">Total do ativo</t>
  </si>
  <si>
    <t xml:space="preserve">P01</t>
  </si>
  <si>
    <t xml:space="preserve">Empréstimos e financiamentos (circulante)</t>
  </si>
  <si>
    <t xml:space="preserve">P02</t>
  </si>
  <si>
    <t xml:space="preserve">Debêntures (circulante)</t>
  </si>
  <si>
    <t xml:space="preserve">P03</t>
  </si>
  <si>
    <t xml:space="preserve">Arrendamento (circulante)</t>
  </si>
  <si>
    <t xml:space="preserve">P04</t>
  </si>
  <si>
    <t xml:space="preserve">Fornecedores</t>
  </si>
  <si>
    <t xml:space="preserve">P05</t>
  </si>
  <si>
    <t xml:space="preserve">Tributos e encargos sociais a recolher</t>
  </si>
  <si>
    <t xml:space="preserve">P06</t>
  </si>
  <si>
    <t xml:space="preserve">Encargos regulatórios a recolher (circulante)</t>
  </si>
  <si>
    <t xml:space="preserve">P07</t>
  </si>
  <si>
    <t xml:space="preserve">Juros sobre capital próprio e dividendos a pagar</t>
  </si>
  <si>
    <t xml:space="preserve">P08</t>
  </si>
  <si>
    <t xml:space="preserve">Obrigações trabalhistas</t>
  </si>
  <si>
    <t xml:space="preserve">P09</t>
  </si>
  <si>
    <t xml:space="preserve">P10</t>
  </si>
  <si>
    <t xml:space="preserve">Provisões - Capex</t>
  </si>
  <si>
    <t xml:space="preserve">Reclassificação de apresentação: no F0011 (p.23) 'Outros' do passivo circulante incluía 'Provisões - Capex'; no F0003 (p.24) a linha foi aberta. P10+P11 do F0003 = P11 do F0011 (ver linha de soma abaixo). Sem efeito no total do passivo circulante.</t>
  </si>
  <si>
    <t xml:space="preserve">P11</t>
  </si>
  <si>
    <t xml:space="preserve">P12</t>
  </si>
  <si>
    <t xml:space="preserve">Total do passivo circulante</t>
  </si>
  <si>
    <t xml:space="preserve">P13</t>
  </si>
  <si>
    <t xml:space="preserve">Empréstimos e financiamentos (não circulante)</t>
  </si>
  <si>
    <t xml:space="preserve">P14</t>
  </si>
  <si>
    <t xml:space="preserve">Debêntures (não circulante)</t>
  </si>
  <si>
    <t xml:space="preserve">P15</t>
  </si>
  <si>
    <t xml:space="preserve">Arrendamento (não circulante)</t>
  </si>
  <si>
    <t xml:space="preserve">P16</t>
  </si>
  <si>
    <t xml:space="preserve">PIS e COFINS diferidos</t>
  </si>
  <si>
    <t xml:space="preserve">P17</t>
  </si>
  <si>
    <t xml:space="preserve">Imposto de renda e contribuição social diferidos</t>
  </si>
  <si>
    <t xml:space="preserve">P18</t>
  </si>
  <si>
    <t xml:space="preserve">Encargos regulatórios a recolher (não circulante)</t>
  </si>
  <si>
    <t xml:space="preserve">P19</t>
  </si>
  <si>
    <t xml:space="preserve">Provisões (não circulante)</t>
  </si>
  <si>
    <t xml:space="preserve">P20</t>
  </si>
  <si>
    <t xml:space="preserve">Instrumentos financeiros derivativos (não circulante)</t>
  </si>
  <si>
    <t xml:space="preserve">P21</t>
  </si>
  <si>
    <t xml:space="preserve">Outros (não circulante)</t>
  </si>
  <si>
    <t xml:space="preserve">P22</t>
  </si>
  <si>
    <t xml:space="preserve">Total do passivo não circulante</t>
  </si>
  <si>
    <t xml:space="preserve">P23</t>
  </si>
  <si>
    <t xml:space="preserve">Capital social</t>
  </si>
  <si>
    <t xml:space="preserve">P24</t>
  </si>
  <si>
    <t xml:space="preserve">Reservas de capital</t>
  </si>
  <si>
    <t xml:space="preserve">P25</t>
  </si>
  <si>
    <t xml:space="preserve">Reservas e retenção de lucros</t>
  </si>
  <si>
    <t xml:space="preserve">P26</t>
  </si>
  <si>
    <t xml:space="preserve">Dividendos adicionais propostos</t>
  </si>
  <si>
    <t xml:space="preserve">P27</t>
  </si>
  <si>
    <t xml:space="preserve">Outros resultados abrangentes</t>
  </si>
  <si>
    <t xml:space="preserve">P28</t>
  </si>
  <si>
    <t xml:space="preserve">Patrimônio líquido atribuível aos controladores</t>
  </si>
  <si>
    <t xml:space="preserve">P29</t>
  </si>
  <si>
    <t xml:space="preserve">Participação de não controladores nos fundos de investimentos</t>
  </si>
  <si>
    <t xml:space="preserve">P30</t>
  </si>
  <si>
    <t xml:space="preserve">Total do patrimônio líquido</t>
  </si>
  <si>
    <t xml:space="preserve">P31</t>
  </si>
  <si>
    <t xml:space="preserve">Total do passivo e do patrimônio líquido</t>
  </si>
  <si>
    <t xml:space="preserve">P10+P11</t>
  </si>
  <si>
    <t xml:space="preserve">Provisões - Capex + Outros (circulante)</t>
  </si>
  <si>
    <t xml:space="preserve">Soma conciliadora da reclassificação P10/P11</t>
  </si>
  <si>
    <t xml:space="preserve">Linhas com diferença</t>
  </si>
  <si>
    <t xml:space="preserve">Soma das diferenças (deve ser 0: reclassificação dentro do passivo circulante)</t>
  </si>
  <si>
    <t xml:space="preserve">Valor reclassificado (Provisões – Capex) / ME</t>
  </si>
  <si>
    <t xml:space="preserve">Movimento</t>
  </si>
  <si>
    <t xml:space="preserve">Consolidado 2024 (F0003 p.47)</t>
  </si>
  <si>
    <t xml:space="preserve">Consolidado 2025 (F0003 p.47)</t>
  </si>
  <si>
    <t xml:space="preserve">Nota</t>
  </si>
  <si>
    <t xml:space="preserve">Saldo inicial</t>
  </si>
  <si>
    <t xml:space="preserve">2023 e 2024</t>
  </si>
  <si>
    <t xml:space="preserve">Receita de infraestrutura</t>
  </si>
  <si>
    <t xml:space="preserve">Ganho (perda) de eficiência</t>
  </si>
  <si>
    <t xml:space="preserve">Remuneração dos ativos da concessão</t>
  </si>
  <si>
    <t xml:space="preserve">2025 inclui −898.790 da REH 3.466 (p.9)</t>
  </si>
  <si>
    <t xml:space="preserve">Receita de O&amp;M</t>
  </si>
  <si>
    <t xml:space="preserve">RTP</t>
  </si>
  <si>
    <t xml:space="preserve">Perda esperada</t>
  </si>
  <si>
    <t xml:space="preserve">Recebimentos</t>
  </si>
  <si>
    <t xml:space="preserve">Saldo final calculado</t>
  </si>
  <si>
    <t xml:space="preserve">Saldo final publicado</t>
  </si>
  <si>
    <t xml:space="preserve">F0003 p.23, 45, 47</t>
  </si>
  <si>
    <t xml:space="preserve">Deve ser 0</t>
  </si>
  <si>
    <t xml:space="preserve">Saldo final 2024 (B11) = saldo inicial 2025 (C2)?</t>
  </si>
  <si>
    <t xml:space="preserve">510 it. 6(a)</t>
  </si>
  <si>
    <t xml:space="preserve">Saldo final 2024 no F0011 (p.45 nota 5.3, consolidado)</t>
  </si>
  <si>
    <t xml:space="preserve">F0011 p.44</t>
  </si>
  <si>
    <t xml:space="preserve">F0011 = F0003 abertura?</t>
  </si>
  <si>
    <t xml:space="preserve">Tema</t>
  </si>
  <si>
    <t xml:space="preserve">Evidência pública</t>
  </si>
  <si>
    <t xml:space="preserve">Avaliação (510 it. 8)</t>
  </si>
  <si>
    <t xml:space="preserve">Normas novas vigentes em 2025</t>
  </si>
  <si>
    <t xml:space="preserve">CPC 02 (R2) e OCPC 10: "não identificaram impactos relevantes"</t>
  </si>
  <si>
    <t xml:space="preserve">F0003 p.42</t>
  </si>
  <si>
    <t xml:space="preserve">Sem mudança de política com efeito</t>
  </si>
  <si>
    <t xml:space="preserve">Normas não vigentes</t>
  </si>
  <si>
    <t xml:space="preserve">CPC 36 (R3)/CPC 18 (R2); CBPS 01/02 (2026); CPC 48/40 (2026); CPC 51 – IFRS 18 (2027); IFRS 19 (2027): impactos em análise</t>
  </si>
  <si>
    <t xml:space="preserve">Divulgação de normas futuras – verificar no PT 700</t>
  </si>
  <si>
    <t xml:space="preserve">Política do ativo contratual (nota 5.1–5.2)</t>
  </si>
  <si>
    <t xml:space="preserve">Texto comparado por algoritmo (difflib) entre F0003 p.44–45 e F0011 p.43–44: ver aba Comparacao_texto</t>
  </si>
  <si>
    <t xml:space="preserve">Script b09_politicas.py</t>
  </si>
  <si>
    <t xml:space="preserve">Ver resultado</t>
  </si>
  <si>
    <t xml:space="preserve">Reapresentação / retificação</t>
  </si>
  <si>
    <t xml:space="preserve">Nenhuma ocorrência de "reapresent" nem de "ajuste de exercícios anteriores" no F0003</t>
  </si>
  <si>
    <t xml:space="preserve">Busca no texto F0003</t>
  </si>
  <si>
    <t xml:space="preserve">Sem reapresentação declarada</t>
  </si>
  <si>
    <t xml:space="preserve">Reclassificação de comparativos</t>
  </si>
  <si>
    <t xml:space="preserve">Linha "Provisões – Capex" (244.333 consolidado 2024) aberta no F0003; estava em "Outros" no F0011; nenhuma nota explica a reclassificação</t>
  </si>
  <si>
    <t xml:space="preserve">F0003 p.24; F0011 p.23; busca "reclassific" sem ocorrência nas notas</t>
  </si>
  <si>
    <t xml:space="preserve">Possível falta de divulgação (CPC 26 it. 41) – valor 2,7× ME, mas só classificação dentro do passivo circulante; julgamento: não relevante para a opinião; comunicar (PT 450/260)</t>
  </si>
  <si>
    <t xml:space="preserve">Procedimento (510 it. 6(c))</t>
  </si>
  <si>
    <t xml:space="preserve">Por que não executado</t>
  </si>
  <si>
    <t xml:space="preserve">Alternativa pública executada</t>
  </si>
  <si>
    <t xml:space="preserve">Revisar papéis de trabalho do antecessor (it. 6(c)(i)); comunicação com o antecessor (NBC TA 300 / código de ética)</t>
  </si>
  <si>
    <t xml:space="preserve">Sem acesso; vedado contato (prompt mestre)</t>
  </si>
  <si>
    <t xml:space="preserve">Leitura do relatório e das DFs 2024 (it. 5)</t>
  </si>
  <si>
    <t xml:space="preserve">Testar recebimentos de 2025 contra saldos de abertura de contas a receber (it. 6(c)(ii))</t>
  </si>
  <si>
    <t xml:space="preserve">Sem razão/extratos reais</t>
  </si>
  <si>
    <t xml:space="preserve">Rollforward 5.5 (abertura → fechamento) e teste sintético (PT 530)</t>
  </si>
  <si>
    <t xml:space="preserve">Obter confirmação de saldos de abertura de dívidas (it. 6(c)(iii))</t>
  </si>
  <si>
    <t xml:space="preserve">Sem envio de confirmações</t>
  </si>
  <si>
    <t xml:space="preserve">Comparação F0011 × F0003; CVM (B02)</t>
  </si>
  <si>
    <t xml:space="preserve">Inspecionar inventário físico de 31/12/2024 (estoques 234.728)</t>
  </si>
  <si>
    <t xml:space="preserve">Data passada; sem acesso</t>
  </si>
  <si>
    <t xml:space="preserve">Saldo imaterial ao ativo; sem procedimento</t>
  </si>
  <si>
    <t xml:space="preserve">Resultado (difflib; limiar de frase distinta: similaridade &lt; 0,85)</t>
  </si>
  <si>
    <t xml:space="preserve">Similaridade global</t>
  </si>
  <si>
    <t xml:space="preserve">Caracteres 2025 / 2024</t>
  </si>
  <si>
    <t xml:space="preserve">7373 / 6065</t>
  </si>
  <si>
    <t xml:space="preserve">Só em 2025</t>
  </si>
  <si>
    <t xml:space="preserve">e (iii) atualizados pelo custo médio ponderado de capital (WACC) regulatório vigente para o ciclo tarifário da RAP, conforme determinado pela ANEEL para projetos de reforços e melhorias.</t>
  </si>
  <si>
    <t xml:space="preserve">As receitas com implementação da infraestrutura e receita de remuneração dos ativos da concessão estão sujeitas ao diferimento de Programa de Integração Social - PIS e da Contribuição para o Financiamento da Seguridade Social – COFINS, registrados na conta “PIS e COFINS diferidos” no passivo não circulante, aplicando-se a regra de acordo com o regime de tributação do lucro, sendo cumulativos ou não cumulativos.</t>
  </si>
  <si>
    <t xml:space="preserve">Conforme descrito na Nota Explicativa nº 4.3 – Atualizações tributárias relevantes, em função dos avanços da reforma tributária sobre o consumo, a Administração avalia que os saldos de PIS e COFINS diferidos poderão deixar de ser exigíveis a partir da extinção desses tributos, bem como que não deverá subsistir o mecanismo de recomposição (“gross up”) da Receita Anual Permitida (RAP) relacionado a tais tributos.</t>
  </si>
  <si>
    <t xml:space="preserve">Eventuais impactos decorrentes dessa avaliação, incluindo ajustes no ativo contratual e no passivo de PIS e COFINS diferidos de longo prazo, dependerão da consolidação do entendimento sobre tais regras e da eliminação das incertezas atualmente existentes, o que poderá incluir a formalização do entendimento regulatório pela Agência Nacional de Energia Elétrica – ANEEL, esperada para 2026, e serão reconhecidos tempestivamente pela Companhia quando atendidos os critérios de reconhecimento e mensuração previstos nas normas contábeis vigentes e após a obtenção da correspondente segurança jurídica e regulatória.</t>
  </si>
  <si>
    <t xml:space="preserve">Só em 2024</t>
  </si>
  <si>
    <t xml:space="preserve">As receitas com implementação da infraestrutura e receita de remuneração dos ativos da concessão estão sujeitas ao diferimento de Programa de Integração Social - PIS e da Contribuição para o Financiamento da Seguridade Social - COFINS cumulativos, registrados na conta “PIS e COFINS diferidos” no passivo não circulante.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</si>
</sst>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  <col collapsed="false" customWidth="true" hidden="false" outlineLevel="0" max="3" min="3" style="1" width="18"/>
    <col collapsed="false" customWidth="true" hidden="false" outlineLevel="0" max="4" min="4" style="1" width="60"/>
  </cols>
  <sheetData>
    <row r="1" customFormat="false" ht="15" hidden="false" customHeight="tru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true" outlineLevel="0" collapsed="false">
      <c r="A2" s="5" t="s">
        <v>9</v>
      </c>
      <c r="B2" s="5" t="s">
        <v>10</v>
      </c>
      <c r="C2" s="5" t="s">
        <v>11</v>
      </c>
      <c r="D2" s="5" t="s">
        <v>12</v>
      </c>
    </row>
    <row r="3" customFormat="false" ht="27.75" hidden="false" customHeight="true" outlineLevel="0" collapsed="false">
      <c r="A3" s="5" t="s">
        <v>13</v>
      </c>
      <c r="B3" s="5" t="s">
        <v>14</v>
      </c>
      <c r="C3" s="5" t="s">
        <v>11</v>
      </c>
      <c r="D3" s="5" t="s">
        <v>15</v>
      </c>
    </row>
    <row r="4" customFormat="false" ht="27.7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</row>
    <row r="5" customFormat="false" ht="15" hidden="false" customHeight="true" outlineLevel="0" collapsed="false">
      <c r="A5" s="5" t="s">
        <v>20</v>
      </c>
      <c r="B5" s="5" t="s">
        <v>21</v>
      </c>
      <c r="C5" s="5" t="s">
        <v>22</v>
      </c>
      <c r="D5" s="5" t="s">
        <v>23</v>
      </c>
    </row>
    <row r="6" customFormat="false" ht="15" hidden="false" customHeight="true" outlineLevel="0" collapsed="false">
      <c r="A6" s="5" t="s">
        <v>24</v>
      </c>
      <c r="B6" s="5" t="s">
        <v>25</v>
      </c>
      <c r="C6" s="5" t="s">
        <v>26</v>
      </c>
      <c r="D6" s="5" t="s">
        <v>27</v>
      </c>
    </row>
    <row r="7" customFormat="false" ht="27.75" hidden="false" customHeight="true" outlineLevel="0" collapsed="false">
      <c r="A7" s="5" t="s">
        <v>28</v>
      </c>
      <c r="B7" s="5" t="s">
        <v>29</v>
      </c>
      <c r="C7" s="5" t="s">
        <v>30</v>
      </c>
      <c r="D7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6"/>
    <col collapsed="false" customWidth="true" hidden="false" outlineLevel="0" max="4" min="3" style="1" width="16"/>
    <col collapsed="false" customWidth="true" hidden="false" outlineLevel="0" max="6" min="5" style="1" width="12"/>
    <col collapsed="false" customWidth="true" hidden="false" outlineLevel="0" max="7" min="7" style="1" width="70"/>
  </cols>
  <sheetData>
    <row r="1" customFormat="false" ht="27.7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</row>
    <row r="2" customFormat="false" ht="15" hidden="false" customHeight="true" outlineLevel="0" collapsed="false">
      <c r="A2" s="5" t="s">
        <v>39</v>
      </c>
      <c r="B2" s="5" t="s">
        <v>40</v>
      </c>
      <c r="C2" s="6" t="n">
        <v>2914747</v>
      </c>
      <c r="D2" s="6" t="n">
        <v>2914747</v>
      </c>
      <c r="E2" s="7" t="n">
        <f aca="false">C2-D2</f>
        <v>0</v>
      </c>
      <c r="F2" s="5" t="str">
        <f aca="false">IF(E2=0,"OK","DIFERENÇA")</f>
        <v>OK</v>
      </c>
      <c r="G2" s="5" t="s">
        <v>41</v>
      </c>
    </row>
    <row r="3" customFormat="false" ht="15" hidden="false" customHeight="true" outlineLevel="0" collapsed="false">
      <c r="A3" s="5" t="s">
        <v>42</v>
      </c>
      <c r="B3" s="5" t="s">
        <v>43</v>
      </c>
      <c r="C3" s="6" t="n">
        <v>485995</v>
      </c>
      <c r="D3" s="6" t="n">
        <v>485995</v>
      </c>
      <c r="E3" s="7" t="n">
        <f aca="false">C3-D3</f>
        <v>0</v>
      </c>
      <c r="F3" s="5" t="str">
        <f aca="false">IF(E3=0,"OK","DIFERENÇA")</f>
        <v>OK</v>
      </c>
      <c r="G3" s="5" t="s">
        <v>41</v>
      </c>
    </row>
    <row r="4" customFormat="false" ht="15" hidden="false" customHeight="true" outlineLevel="0" collapsed="false">
      <c r="A4" s="5" t="s">
        <v>44</v>
      </c>
      <c r="B4" s="5" t="s">
        <v>45</v>
      </c>
      <c r="C4" s="6" t="n">
        <v>3604640</v>
      </c>
      <c r="D4" s="6" t="n">
        <v>3604640</v>
      </c>
      <c r="E4" s="7" t="n">
        <f aca="false">C4-D4</f>
        <v>0</v>
      </c>
      <c r="F4" s="5" t="str">
        <f aca="false">IF(E4=0,"OK","DIFERENÇA")</f>
        <v>OK</v>
      </c>
      <c r="G4" s="5" t="s">
        <v>41</v>
      </c>
    </row>
    <row r="5" customFormat="false" ht="15" hidden="false" customHeight="true" outlineLevel="0" collapsed="false">
      <c r="A5" s="5" t="s">
        <v>46</v>
      </c>
      <c r="B5" s="5" t="s">
        <v>47</v>
      </c>
      <c r="C5" s="6" t="n">
        <v>94384</v>
      </c>
      <c r="D5" s="6" t="n">
        <v>94384</v>
      </c>
      <c r="E5" s="7" t="n">
        <f aca="false">C5-D5</f>
        <v>0</v>
      </c>
      <c r="F5" s="5" t="str">
        <f aca="false">IF(E5=0,"OK","DIFERENÇA")</f>
        <v>OK</v>
      </c>
      <c r="G5" s="5" t="s">
        <v>41</v>
      </c>
    </row>
    <row r="6" customFormat="false" ht="15" hidden="false" customHeight="true" outlineLevel="0" collapsed="false">
      <c r="A6" s="5" t="s">
        <v>48</v>
      </c>
      <c r="B6" s="5" t="s">
        <v>49</v>
      </c>
      <c r="C6" s="6" t="n">
        <v>453046</v>
      </c>
      <c r="D6" s="6" t="n">
        <v>453046</v>
      </c>
      <c r="E6" s="7" t="n">
        <f aca="false">C6-D6</f>
        <v>0</v>
      </c>
      <c r="F6" s="5" t="str">
        <f aca="false">IF(E6=0,"OK","DIFERENÇA")</f>
        <v>OK</v>
      </c>
      <c r="G6" s="5" t="s">
        <v>41</v>
      </c>
    </row>
    <row r="7" customFormat="false" ht="15" hidden="false" customHeight="true" outlineLevel="0" collapsed="false">
      <c r="A7" s="5" t="s">
        <v>50</v>
      </c>
      <c r="B7" s="5" t="s">
        <v>51</v>
      </c>
      <c r="C7" s="6" t="n">
        <v>41658</v>
      </c>
      <c r="D7" s="6" t="n">
        <v>41658</v>
      </c>
      <c r="E7" s="7" t="n">
        <f aca="false">C7-D7</f>
        <v>0</v>
      </c>
      <c r="F7" s="5" t="str">
        <f aca="false">IF(E7=0,"OK","DIFERENÇA")</f>
        <v>OK</v>
      </c>
      <c r="G7" s="5" t="s">
        <v>41</v>
      </c>
    </row>
    <row r="8" customFormat="false" ht="15" hidden="false" customHeight="true" outlineLevel="0" collapsed="false">
      <c r="A8" s="5" t="s">
        <v>52</v>
      </c>
      <c r="B8" s="5" t="s">
        <v>53</v>
      </c>
      <c r="C8" s="6" t="n">
        <v>142546</v>
      </c>
      <c r="D8" s="6" t="n">
        <v>142546</v>
      </c>
      <c r="E8" s="7" t="n">
        <f aca="false">C8-D8</f>
        <v>0</v>
      </c>
      <c r="F8" s="5" t="str">
        <f aca="false">IF(E8=0,"OK","DIFERENÇA")</f>
        <v>OK</v>
      </c>
      <c r="G8" s="5" t="s">
        <v>41</v>
      </c>
    </row>
    <row r="9" customFormat="false" ht="15" hidden="false" customHeight="true" outlineLevel="0" collapsed="false">
      <c r="A9" s="5" t="s">
        <v>54</v>
      </c>
      <c r="B9" s="5" t="s">
        <v>55</v>
      </c>
      <c r="C9" s="6" t="n">
        <v>202433</v>
      </c>
      <c r="D9" s="6" t="n">
        <v>202433</v>
      </c>
      <c r="E9" s="7" t="n">
        <f aca="false">C9-D9</f>
        <v>0</v>
      </c>
      <c r="F9" s="5" t="str">
        <f aca="false">IF(E9=0,"OK","DIFERENÇA")</f>
        <v>OK</v>
      </c>
      <c r="G9" s="5" t="s">
        <v>41</v>
      </c>
    </row>
    <row r="10" customFormat="false" ht="15" hidden="false" customHeight="true" outlineLevel="0" collapsed="false">
      <c r="A10" s="5" t="s">
        <v>56</v>
      </c>
      <c r="B10" s="5" t="s">
        <v>57</v>
      </c>
      <c r="C10" s="6" t="n">
        <v>7939449</v>
      </c>
      <c r="D10" s="6" t="n">
        <v>7939449</v>
      </c>
      <c r="E10" s="7" t="n">
        <f aca="false">C10-D10</f>
        <v>0</v>
      </c>
      <c r="F10" s="5" t="str">
        <f aca="false">IF(E10=0,"OK","DIFERENÇA")</f>
        <v>OK</v>
      </c>
      <c r="G10" s="5" t="s">
        <v>41</v>
      </c>
    </row>
    <row r="11" customFormat="false" ht="15" hidden="false" customHeight="true" outlineLevel="0" collapsed="false">
      <c r="A11" s="5" t="s">
        <v>58</v>
      </c>
      <c r="B11" s="5" t="s">
        <v>59</v>
      </c>
      <c r="C11" s="6" t="n">
        <v>27442183</v>
      </c>
      <c r="D11" s="6" t="n">
        <v>27442183</v>
      </c>
      <c r="E11" s="7" t="n">
        <f aca="false">C11-D11</f>
        <v>0</v>
      </c>
      <c r="F11" s="5" t="str">
        <f aca="false">IF(E11=0,"OK","DIFERENÇA")</f>
        <v>OK</v>
      </c>
      <c r="G11" s="5" t="s">
        <v>41</v>
      </c>
    </row>
    <row r="12" customFormat="false" ht="15" hidden="false" customHeight="true" outlineLevel="0" collapsed="false">
      <c r="A12" s="5" t="s">
        <v>60</v>
      </c>
      <c r="B12" s="5" t="s">
        <v>61</v>
      </c>
      <c r="C12" s="6" t="n">
        <v>2564527</v>
      </c>
      <c r="D12" s="6" t="n">
        <v>2564527</v>
      </c>
      <c r="E12" s="7" t="n">
        <f aca="false">C12-D12</f>
        <v>0</v>
      </c>
      <c r="F12" s="5" t="str">
        <f aca="false">IF(E12=0,"OK","DIFERENÇA")</f>
        <v>OK</v>
      </c>
      <c r="G12" s="5" t="s">
        <v>41</v>
      </c>
    </row>
    <row r="13" customFormat="false" ht="15" hidden="false" customHeight="true" outlineLevel="0" collapsed="false">
      <c r="A13" s="5" t="s">
        <v>62</v>
      </c>
      <c r="B13" s="5" t="s">
        <v>63</v>
      </c>
      <c r="C13" s="6" t="n">
        <v>43650</v>
      </c>
      <c r="D13" s="6" t="n">
        <v>43650</v>
      </c>
      <c r="E13" s="7" t="n">
        <f aca="false">C13-D13</f>
        <v>0</v>
      </c>
      <c r="F13" s="5" t="str">
        <f aca="false">IF(E13=0,"OK","DIFERENÇA")</f>
        <v>OK</v>
      </c>
      <c r="G13" s="5" t="s">
        <v>41</v>
      </c>
    </row>
    <row r="14" customFormat="false" ht="15" hidden="false" customHeight="true" outlineLevel="0" collapsed="false">
      <c r="A14" s="5" t="s">
        <v>64</v>
      </c>
      <c r="B14" s="5" t="s">
        <v>65</v>
      </c>
      <c r="C14" s="6" t="n">
        <v>140344</v>
      </c>
      <c r="D14" s="6" t="n">
        <v>140344</v>
      </c>
      <c r="E14" s="7" t="n">
        <f aca="false">C14-D14</f>
        <v>0</v>
      </c>
      <c r="F14" s="5" t="str">
        <f aca="false">IF(E14=0,"OK","DIFERENÇA")</f>
        <v>OK</v>
      </c>
      <c r="G14" s="5" t="s">
        <v>41</v>
      </c>
    </row>
    <row r="15" customFormat="false" ht="15" hidden="false" customHeight="true" outlineLevel="0" collapsed="false">
      <c r="A15" s="5" t="s">
        <v>66</v>
      </c>
      <c r="B15" s="5" t="s">
        <v>67</v>
      </c>
      <c r="C15" s="6" t="n">
        <v>84715</v>
      </c>
      <c r="D15" s="6" t="n">
        <v>84715</v>
      </c>
      <c r="E15" s="7" t="n">
        <f aca="false">C15-D15</f>
        <v>0</v>
      </c>
      <c r="F15" s="5" t="str">
        <f aca="false">IF(E15=0,"OK","DIFERENÇA")</f>
        <v>OK</v>
      </c>
      <c r="G15" s="5" t="s">
        <v>41</v>
      </c>
    </row>
    <row r="16" customFormat="false" ht="15" hidden="false" customHeight="true" outlineLevel="0" collapsed="false">
      <c r="A16" s="5" t="s">
        <v>68</v>
      </c>
      <c r="B16" s="5" t="s">
        <v>69</v>
      </c>
      <c r="C16" s="6" t="n">
        <v>142798</v>
      </c>
      <c r="D16" s="6" t="n">
        <v>142798</v>
      </c>
      <c r="E16" s="7" t="n">
        <f aca="false">C16-D16</f>
        <v>0</v>
      </c>
      <c r="F16" s="5" t="str">
        <f aca="false">IF(E16=0,"OK","DIFERENÇA")</f>
        <v>OK</v>
      </c>
      <c r="G16" s="5" t="s">
        <v>41</v>
      </c>
    </row>
    <row r="17" customFormat="false" ht="15" hidden="false" customHeight="true" outlineLevel="0" collapsed="false">
      <c r="A17" s="5" t="s">
        <v>70</v>
      </c>
      <c r="B17" s="5" t="s">
        <v>71</v>
      </c>
      <c r="C17" s="6" t="n">
        <v>30418217</v>
      </c>
      <c r="D17" s="6" t="n">
        <v>30418217</v>
      </c>
      <c r="E17" s="7" t="n">
        <f aca="false">C17-D17</f>
        <v>0</v>
      </c>
      <c r="F17" s="5" t="str">
        <f aca="false">IF(E17=0,"OK","DIFERENÇA")</f>
        <v>OK</v>
      </c>
      <c r="G17" s="5" t="s">
        <v>41</v>
      </c>
    </row>
    <row r="18" customFormat="false" ht="15" hidden="false" customHeight="true" outlineLevel="0" collapsed="false">
      <c r="A18" s="5" t="s">
        <v>72</v>
      </c>
      <c r="B18" s="5" t="s">
        <v>73</v>
      </c>
      <c r="C18" s="6" t="n">
        <v>4354888</v>
      </c>
      <c r="D18" s="6" t="n">
        <v>4354888</v>
      </c>
      <c r="E18" s="7" t="n">
        <f aca="false">C18-D18</f>
        <v>0</v>
      </c>
      <c r="F18" s="5" t="str">
        <f aca="false">IF(E18=0,"OK","DIFERENÇA")</f>
        <v>OK</v>
      </c>
      <c r="G18" s="5" t="s">
        <v>41</v>
      </c>
    </row>
    <row r="19" customFormat="false" ht="15" hidden="false" customHeight="true" outlineLevel="0" collapsed="false">
      <c r="A19" s="5" t="s">
        <v>74</v>
      </c>
      <c r="B19" s="5" t="s">
        <v>75</v>
      </c>
      <c r="C19" s="6" t="n">
        <v>153613</v>
      </c>
      <c r="D19" s="6" t="n">
        <v>153613</v>
      </c>
      <c r="E19" s="7" t="n">
        <f aca="false">C19-D19</f>
        <v>0</v>
      </c>
      <c r="F19" s="5" t="str">
        <f aca="false">IF(E19=0,"OK","DIFERENÇA")</f>
        <v>OK</v>
      </c>
      <c r="G19" s="5" t="s">
        <v>41</v>
      </c>
    </row>
    <row r="20" customFormat="false" ht="15" hidden="false" customHeight="true" outlineLevel="0" collapsed="false">
      <c r="A20" s="5" t="s">
        <v>76</v>
      </c>
      <c r="B20" s="5" t="s">
        <v>77</v>
      </c>
      <c r="C20" s="6" t="n">
        <v>438465</v>
      </c>
      <c r="D20" s="6" t="n">
        <v>438465</v>
      </c>
      <c r="E20" s="7" t="n">
        <f aca="false">C20-D20</f>
        <v>0</v>
      </c>
      <c r="F20" s="5" t="str">
        <f aca="false">IF(E20=0,"OK","DIFERENÇA")</f>
        <v>OK</v>
      </c>
      <c r="G20" s="5" t="s">
        <v>41</v>
      </c>
    </row>
    <row r="21" customFormat="false" ht="15" hidden="false" customHeight="true" outlineLevel="0" collapsed="false">
      <c r="A21" s="5" t="s">
        <v>78</v>
      </c>
      <c r="B21" s="5" t="s">
        <v>79</v>
      </c>
      <c r="C21" s="6" t="n">
        <v>4946966</v>
      </c>
      <c r="D21" s="6" t="n">
        <v>4946966</v>
      </c>
      <c r="E21" s="7" t="n">
        <f aca="false">C21-D21</f>
        <v>0</v>
      </c>
      <c r="F21" s="5" t="str">
        <f aca="false">IF(E21=0,"OK","DIFERENÇA")</f>
        <v>OK</v>
      </c>
      <c r="G21" s="5" t="s">
        <v>41</v>
      </c>
    </row>
    <row r="22" customFormat="false" ht="15" hidden="false" customHeight="true" outlineLevel="0" collapsed="false">
      <c r="A22" s="5" t="s">
        <v>80</v>
      </c>
      <c r="B22" s="5" t="s">
        <v>81</v>
      </c>
      <c r="C22" s="6" t="n">
        <v>35365183</v>
      </c>
      <c r="D22" s="6" t="n">
        <v>35365183</v>
      </c>
      <c r="E22" s="7" t="n">
        <f aca="false">C22-D22</f>
        <v>0</v>
      </c>
      <c r="F22" s="5" t="str">
        <f aca="false">IF(E22=0,"OK","DIFERENÇA")</f>
        <v>OK</v>
      </c>
      <c r="G22" s="5" t="s">
        <v>41</v>
      </c>
    </row>
    <row r="23" customFormat="false" ht="15" hidden="false" customHeight="true" outlineLevel="0" collapsed="false">
      <c r="A23" s="5" t="s">
        <v>82</v>
      </c>
      <c r="B23" s="5" t="s">
        <v>83</v>
      </c>
      <c r="C23" s="6" t="n">
        <v>43304632</v>
      </c>
      <c r="D23" s="6" t="n">
        <v>43304632</v>
      </c>
      <c r="E23" s="7" t="n">
        <f aca="false">C23-D23</f>
        <v>0</v>
      </c>
      <c r="F23" s="5" t="str">
        <f aca="false">IF(E23=0,"OK","DIFERENÇA")</f>
        <v>OK</v>
      </c>
      <c r="G23" s="5" t="s">
        <v>41</v>
      </c>
    </row>
    <row r="24" customFormat="false" ht="15" hidden="false" customHeight="true" outlineLevel="0" collapsed="false">
      <c r="A24" s="5" t="s">
        <v>84</v>
      </c>
      <c r="B24" s="5" t="s">
        <v>85</v>
      </c>
      <c r="C24" s="6" t="n">
        <v>82056</v>
      </c>
      <c r="D24" s="6" t="n">
        <v>82056</v>
      </c>
      <c r="E24" s="7" t="n">
        <f aca="false">C24-D24</f>
        <v>0</v>
      </c>
      <c r="F24" s="5" t="str">
        <f aca="false">IF(E24=0,"OK","DIFERENÇA")</f>
        <v>OK</v>
      </c>
      <c r="G24" s="5" t="s">
        <v>41</v>
      </c>
    </row>
    <row r="25" customFormat="false" ht="15" hidden="false" customHeight="true" outlineLevel="0" collapsed="false">
      <c r="A25" s="5" t="s">
        <v>86</v>
      </c>
      <c r="B25" s="5" t="s">
        <v>87</v>
      </c>
      <c r="C25" s="6" t="n">
        <v>1109914</v>
      </c>
      <c r="D25" s="6" t="n">
        <v>1109914</v>
      </c>
      <c r="E25" s="7" t="n">
        <f aca="false">C25-D25</f>
        <v>0</v>
      </c>
      <c r="F25" s="5" t="str">
        <f aca="false">IF(E25=0,"OK","DIFERENÇA")</f>
        <v>OK</v>
      </c>
      <c r="G25" s="5" t="s">
        <v>41</v>
      </c>
    </row>
    <row r="26" customFormat="false" ht="15" hidden="false" customHeight="true" outlineLevel="0" collapsed="false">
      <c r="A26" s="5" t="s">
        <v>88</v>
      </c>
      <c r="B26" s="5" t="s">
        <v>89</v>
      </c>
      <c r="C26" s="6" t="n">
        <v>12020</v>
      </c>
      <c r="D26" s="6" t="n">
        <v>12020</v>
      </c>
      <c r="E26" s="7" t="n">
        <f aca="false">C26-D26</f>
        <v>0</v>
      </c>
      <c r="F26" s="5" t="str">
        <f aca="false">IF(E26=0,"OK","DIFERENÇA")</f>
        <v>OK</v>
      </c>
      <c r="G26" s="5" t="s">
        <v>41</v>
      </c>
    </row>
    <row r="27" customFormat="false" ht="15" hidden="false" customHeight="true" outlineLevel="0" collapsed="false">
      <c r="A27" s="5" t="s">
        <v>90</v>
      </c>
      <c r="B27" s="5" t="s">
        <v>91</v>
      </c>
      <c r="C27" s="6" t="n">
        <v>182169</v>
      </c>
      <c r="D27" s="6" t="n">
        <v>182169</v>
      </c>
      <c r="E27" s="7" t="n">
        <f aca="false">C27-D27</f>
        <v>0</v>
      </c>
      <c r="F27" s="5" t="str">
        <f aca="false">IF(E27=0,"OK","DIFERENÇA")</f>
        <v>OK</v>
      </c>
      <c r="G27" s="5" t="s">
        <v>41</v>
      </c>
    </row>
    <row r="28" customFormat="false" ht="15" hidden="false" customHeight="true" outlineLevel="0" collapsed="false">
      <c r="A28" s="5" t="s">
        <v>92</v>
      </c>
      <c r="B28" s="5" t="s">
        <v>93</v>
      </c>
      <c r="C28" s="6" t="n">
        <v>139146</v>
      </c>
      <c r="D28" s="6" t="n">
        <v>139146</v>
      </c>
      <c r="E28" s="7" t="n">
        <f aca="false">C28-D28</f>
        <v>0</v>
      </c>
      <c r="F28" s="5" t="str">
        <f aca="false">IF(E28=0,"OK","DIFERENÇA")</f>
        <v>OK</v>
      </c>
      <c r="G28" s="5" t="s">
        <v>41</v>
      </c>
    </row>
    <row r="29" customFormat="false" ht="15" hidden="false" customHeight="true" outlineLevel="0" collapsed="false">
      <c r="A29" s="5" t="s">
        <v>94</v>
      </c>
      <c r="B29" s="5" t="s">
        <v>95</v>
      </c>
      <c r="C29" s="6" t="n">
        <v>66750</v>
      </c>
      <c r="D29" s="6" t="n">
        <v>66750</v>
      </c>
      <c r="E29" s="7" t="n">
        <f aca="false">C29-D29</f>
        <v>0</v>
      </c>
      <c r="F29" s="5" t="str">
        <f aca="false">IF(E29=0,"OK","DIFERENÇA")</f>
        <v>OK</v>
      </c>
      <c r="G29" s="5" t="s">
        <v>41</v>
      </c>
    </row>
    <row r="30" customFormat="false" ht="15" hidden="false" customHeight="true" outlineLevel="0" collapsed="false">
      <c r="A30" s="5" t="s">
        <v>96</v>
      </c>
      <c r="B30" s="5" t="s">
        <v>97</v>
      </c>
      <c r="C30" s="6" t="n">
        <v>1329622</v>
      </c>
      <c r="D30" s="6" t="n">
        <v>1329622</v>
      </c>
      <c r="E30" s="7" t="n">
        <f aca="false">C30-D30</f>
        <v>0</v>
      </c>
      <c r="F30" s="5" t="str">
        <f aca="false">IF(E30=0,"OK","DIFERENÇA")</f>
        <v>OK</v>
      </c>
      <c r="G30" s="5" t="s">
        <v>41</v>
      </c>
    </row>
    <row r="31" customFormat="false" ht="15" hidden="false" customHeight="true" outlineLevel="0" collapsed="false">
      <c r="A31" s="5" t="s">
        <v>98</v>
      </c>
      <c r="B31" s="5" t="s">
        <v>99</v>
      </c>
      <c r="C31" s="6" t="n">
        <v>71658</v>
      </c>
      <c r="D31" s="6" t="n">
        <v>71658</v>
      </c>
      <c r="E31" s="7" t="n">
        <f aca="false">C31-D31</f>
        <v>0</v>
      </c>
      <c r="F31" s="5" t="str">
        <f aca="false">IF(E31=0,"OK","DIFERENÇA")</f>
        <v>OK</v>
      </c>
      <c r="G31" s="5" t="s">
        <v>41</v>
      </c>
    </row>
    <row r="32" customFormat="false" ht="15" hidden="false" customHeight="true" outlineLevel="0" collapsed="false">
      <c r="A32" s="5" t="s">
        <v>100</v>
      </c>
      <c r="B32" s="5" t="s">
        <v>51</v>
      </c>
      <c r="C32" s="6" t="n">
        <v>0</v>
      </c>
      <c r="D32" s="6" t="n">
        <v>0</v>
      </c>
      <c r="E32" s="7" t="n">
        <f aca="false">C32-D32</f>
        <v>0</v>
      </c>
      <c r="F32" s="5" t="str">
        <f aca="false">IF(E32=0,"OK","DIFERENÇA")</f>
        <v>OK</v>
      </c>
      <c r="G32" s="5" t="s">
        <v>41</v>
      </c>
    </row>
    <row r="33" customFormat="false" ht="54.75" hidden="false" customHeight="true" outlineLevel="0" collapsed="false">
      <c r="A33" s="5" t="s">
        <v>101</v>
      </c>
      <c r="B33" s="5" t="s">
        <v>102</v>
      </c>
      <c r="C33" s="6" t="n">
        <v>244333</v>
      </c>
      <c r="D33" s="6" t="n">
        <v>0</v>
      </c>
      <c r="E33" s="7" t="n">
        <f aca="false">C33-D33</f>
        <v>244333</v>
      </c>
      <c r="F33" s="5" t="str">
        <f aca="false">IF(E33=0,"OK","DIFERENÇA")</f>
        <v>DIFERENÇA</v>
      </c>
      <c r="G33" s="5" t="s">
        <v>103</v>
      </c>
    </row>
    <row r="34" customFormat="false" ht="54.75" hidden="false" customHeight="true" outlineLevel="0" collapsed="false">
      <c r="A34" s="5" t="s">
        <v>104</v>
      </c>
      <c r="B34" s="5" t="s">
        <v>55</v>
      </c>
      <c r="C34" s="6" t="n">
        <v>27150</v>
      </c>
      <c r="D34" s="6" t="n">
        <v>271483</v>
      </c>
      <c r="E34" s="7" t="n">
        <f aca="false">C34-D34</f>
        <v>-244333</v>
      </c>
      <c r="F34" s="5" t="str">
        <f aca="false">IF(E34=0,"OK","DIFERENÇA")</f>
        <v>DIFERENÇA</v>
      </c>
      <c r="G34" s="5" t="s">
        <v>103</v>
      </c>
    </row>
    <row r="35" customFormat="false" ht="15" hidden="false" customHeight="true" outlineLevel="0" collapsed="false">
      <c r="A35" s="5" t="s">
        <v>105</v>
      </c>
      <c r="B35" s="5" t="s">
        <v>106</v>
      </c>
      <c r="C35" s="6" t="n">
        <v>3264818</v>
      </c>
      <c r="D35" s="6" t="n">
        <v>3264818</v>
      </c>
      <c r="E35" s="7" t="n">
        <f aca="false">C35-D35</f>
        <v>0</v>
      </c>
      <c r="F35" s="5" t="str">
        <f aca="false">IF(E35=0,"OK","DIFERENÇA")</f>
        <v>OK</v>
      </c>
      <c r="G35" s="5" t="s">
        <v>41</v>
      </c>
    </row>
    <row r="36" customFormat="false" ht="15" hidden="false" customHeight="true" outlineLevel="0" collapsed="false">
      <c r="A36" s="5" t="s">
        <v>107</v>
      </c>
      <c r="B36" s="5" t="s">
        <v>108</v>
      </c>
      <c r="C36" s="6" t="n">
        <v>651766</v>
      </c>
      <c r="D36" s="6" t="n">
        <v>651766</v>
      </c>
      <c r="E36" s="7" t="n">
        <f aca="false">C36-D36</f>
        <v>0</v>
      </c>
      <c r="F36" s="5" t="str">
        <f aca="false">IF(E36=0,"OK","DIFERENÇA")</f>
        <v>OK</v>
      </c>
      <c r="G36" s="5" t="s">
        <v>41</v>
      </c>
    </row>
    <row r="37" customFormat="false" ht="15" hidden="false" customHeight="true" outlineLevel="0" collapsed="false">
      <c r="A37" s="5" t="s">
        <v>109</v>
      </c>
      <c r="B37" s="5" t="s">
        <v>110</v>
      </c>
      <c r="C37" s="6" t="n">
        <v>11392559</v>
      </c>
      <c r="D37" s="6" t="n">
        <v>11392559</v>
      </c>
      <c r="E37" s="7" t="n">
        <f aca="false">C37-D37</f>
        <v>0</v>
      </c>
      <c r="F37" s="5" t="str">
        <f aca="false">IF(E37=0,"OK","DIFERENÇA")</f>
        <v>OK</v>
      </c>
      <c r="G37" s="5" t="s">
        <v>41</v>
      </c>
    </row>
    <row r="38" customFormat="false" ht="15" hidden="false" customHeight="true" outlineLevel="0" collapsed="false">
      <c r="A38" s="5" t="s">
        <v>111</v>
      </c>
      <c r="B38" s="5" t="s">
        <v>112</v>
      </c>
      <c r="C38" s="6" t="n">
        <v>25489</v>
      </c>
      <c r="D38" s="6" t="n">
        <v>25489</v>
      </c>
      <c r="E38" s="7" t="n">
        <f aca="false">C38-D38</f>
        <v>0</v>
      </c>
      <c r="F38" s="5" t="str">
        <f aca="false">IF(E38=0,"OK","DIFERENÇA")</f>
        <v>OK</v>
      </c>
      <c r="G38" s="5" t="s">
        <v>41</v>
      </c>
    </row>
    <row r="39" customFormat="false" ht="15" hidden="false" customHeight="true" outlineLevel="0" collapsed="false">
      <c r="A39" s="5" t="s">
        <v>113</v>
      </c>
      <c r="B39" s="5" t="s">
        <v>114</v>
      </c>
      <c r="C39" s="6" t="n">
        <v>2493513</v>
      </c>
      <c r="D39" s="6" t="n">
        <v>2493513</v>
      </c>
      <c r="E39" s="7" t="n">
        <f aca="false">C39-D39</f>
        <v>0</v>
      </c>
      <c r="F39" s="5" t="str">
        <f aca="false">IF(E39=0,"OK","DIFERENÇA")</f>
        <v>OK</v>
      </c>
      <c r="G39" s="5" t="s">
        <v>41</v>
      </c>
    </row>
    <row r="40" customFormat="false" ht="15" hidden="false" customHeight="true" outlineLevel="0" collapsed="false">
      <c r="A40" s="5" t="s">
        <v>115</v>
      </c>
      <c r="B40" s="5" t="s">
        <v>116</v>
      </c>
      <c r="C40" s="6" t="n">
        <v>5175168</v>
      </c>
      <c r="D40" s="6" t="n">
        <v>5175168</v>
      </c>
      <c r="E40" s="7" t="n">
        <f aca="false">C40-D40</f>
        <v>0</v>
      </c>
      <c r="F40" s="5" t="str">
        <f aca="false">IF(E40=0,"OK","DIFERENÇA")</f>
        <v>OK</v>
      </c>
      <c r="G40" s="5" t="s">
        <v>41</v>
      </c>
    </row>
    <row r="41" customFormat="false" ht="15" hidden="false" customHeight="true" outlineLevel="0" collapsed="false">
      <c r="A41" s="5" t="s">
        <v>117</v>
      </c>
      <c r="B41" s="5" t="s">
        <v>118</v>
      </c>
      <c r="C41" s="6" t="n">
        <v>30763</v>
      </c>
      <c r="D41" s="6" t="n">
        <v>30763</v>
      </c>
      <c r="E41" s="7" t="n">
        <f aca="false">C41-D41</f>
        <v>0</v>
      </c>
      <c r="F41" s="5" t="str">
        <f aca="false">IF(E41=0,"OK","DIFERENÇA")</f>
        <v>OK</v>
      </c>
      <c r="G41" s="5" t="s">
        <v>41</v>
      </c>
    </row>
    <row r="42" customFormat="false" ht="15" hidden="false" customHeight="true" outlineLevel="0" collapsed="false">
      <c r="A42" s="5" t="s">
        <v>119</v>
      </c>
      <c r="B42" s="5" t="s">
        <v>120</v>
      </c>
      <c r="C42" s="6" t="n">
        <v>197271</v>
      </c>
      <c r="D42" s="6" t="n">
        <v>197271</v>
      </c>
      <c r="E42" s="7" t="n">
        <f aca="false">C42-D42</f>
        <v>0</v>
      </c>
      <c r="F42" s="5" t="str">
        <f aca="false">IF(E42=0,"OK","DIFERENÇA")</f>
        <v>OK</v>
      </c>
      <c r="G42" s="5" t="s">
        <v>41</v>
      </c>
    </row>
    <row r="43" customFormat="false" ht="15" hidden="false" customHeight="true" outlineLevel="0" collapsed="false">
      <c r="A43" s="5" t="s">
        <v>121</v>
      </c>
      <c r="B43" s="5" t="s">
        <v>122</v>
      </c>
      <c r="C43" s="6" t="n">
        <v>0</v>
      </c>
      <c r="D43" s="6" t="n">
        <v>0</v>
      </c>
      <c r="E43" s="7" t="n">
        <f aca="false">C43-D43</f>
        <v>0</v>
      </c>
      <c r="F43" s="5" t="str">
        <f aca="false">IF(E43=0,"OK","DIFERENÇA")</f>
        <v>OK</v>
      </c>
      <c r="G43" s="5" t="s">
        <v>41</v>
      </c>
    </row>
    <row r="44" customFormat="false" ht="15" hidden="false" customHeight="true" outlineLevel="0" collapsed="false">
      <c r="A44" s="5" t="s">
        <v>123</v>
      </c>
      <c r="B44" s="5" t="s">
        <v>124</v>
      </c>
      <c r="C44" s="6" t="n">
        <v>2003</v>
      </c>
      <c r="D44" s="6" t="n">
        <v>2003</v>
      </c>
      <c r="E44" s="7" t="n">
        <f aca="false">C44-D44</f>
        <v>0</v>
      </c>
      <c r="F44" s="5" t="str">
        <f aca="false">IF(E44=0,"OK","DIFERENÇA")</f>
        <v>OK</v>
      </c>
      <c r="G44" s="5" t="s">
        <v>41</v>
      </c>
    </row>
    <row r="45" customFormat="false" ht="15" hidden="false" customHeight="true" outlineLevel="0" collapsed="false">
      <c r="A45" s="5" t="s">
        <v>125</v>
      </c>
      <c r="B45" s="5" t="s">
        <v>126</v>
      </c>
      <c r="C45" s="6" t="n">
        <v>19968532</v>
      </c>
      <c r="D45" s="6" t="n">
        <v>19968532</v>
      </c>
      <c r="E45" s="7" t="n">
        <f aca="false">C45-D45</f>
        <v>0</v>
      </c>
      <c r="F45" s="5" t="str">
        <f aca="false">IF(E45=0,"OK","DIFERENÇA")</f>
        <v>OK</v>
      </c>
      <c r="G45" s="5" t="s">
        <v>41</v>
      </c>
    </row>
    <row r="46" customFormat="false" ht="15" hidden="false" customHeight="true" outlineLevel="0" collapsed="false">
      <c r="A46" s="5" t="s">
        <v>127</v>
      </c>
      <c r="B46" s="5" t="s">
        <v>128</v>
      </c>
      <c r="C46" s="6" t="n">
        <v>3590020</v>
      </c>
      <c r="D46" s="6" t="n">
        <v>3590020</v>
      </c>
      <c r="E46" s="7" t="n">
        <f aca="false">C46-D46</f>
        <v>0</v>
      </c>
      <c r="F46" s="5" t="str">
        <f aca="false">IF(E46=0,"OK","DIFERENÇA")</f>
        <v>OK</v>
      </c>
      <c r="G46" s="5" t="s">
        <v>41</v>
      </c>
    </row>
    <row r="47" customFormat="false" ht="15" hidden="false" customHeight="true" outlineLevel="0" collapsed="false">
      <c r="A47" s="5" t="s">
        <v>129</v>
      </c>
      <c r="B47" s="5" t="s">
        <v>130</v>
      </c>
      <c r="C47" s="6" t="n">
        <v>666</v>
      </c>
      <c r="D47" s="6" t="n">
        <v>666</v>
      </c>
      <c r="E47" s="7" t="n">
        <f aca="false">C47-D47</f>
        <v>0</v>
      </c>
      <c r="F47" s="5" t="str">
        <f aca="false">IF(E47=0,"OK","DIFERENÇA")</f>
        <v>OK</v>
      </c>
      <c r="G47" s="5" t="s">
        <v>41</v>
      </c>
    </row>
    <row r="48" customFormat="false" ht="15" hidden="false" customHeight="true" outlineLevel="0" collapsed="false">
      <c r="A48" s="5" t="s">
        <v>131</v>
      </c>
      <c r="B48" s="5" t="s">
        <v>132</v>
      </c>
      <c r="C48" s="6" t="n">
        <v>15950329</v>
      </c>
      <c r="D48" s="6" t="n">
        <v>15950329</v>
      </c>
      <c r="E48" s="7" t="n">
        <f aca="false">C48-D48</f>
        <v>0</v>
      </c>
      <c r="F48" s="5" t="str">
        <f aca="false">IF(E48=0,"OK","DIFERENÇA")</f>
        <v>OK</v>
      </c>
      <c r="G48" s="5" t="s">
        <v>41</v>
      </c>
    </row>
    <row r="49" customFormat="false" ht="15" hidden="false" customHeight="true" outlineLevel="0" collapsed="false">
      <c r="A49" s="5" t="s">
        <v>133</v>
      </c>
      <c r="B49" s="5" t="s">
        <v>134</v>
      </c>
      <c r="C49" s="6" t="n">
        <v>0</v>
      </c>
      <c r="D49" s="6" t="n">
        <v>0</v>
      </c>
      <c r="E49" s="7" t="n">
        <f aca="false">C49-D49</f>
        <v>0</v>
      </c>
      <c r="F49" s="5" t="str">
        <f aca="false">IF(E49=0,"OK","DIFERENÇA")</f>
        <v>OK</v>
      </c>
      <c r="G49" s="5" t="s">
        <v>41</v>
      </c>
    </row>
    <row r="50" customFormat="false" ht="15" hidden="false" customHeight="true" outlineLevel="0" collapsed="false">
      <c r="A50" s="5" t="s">
        <v>135</v>
      </c>
      <c r="B50" s="5" t="s">
        <v>136</v>
      </c>
      <c r="C50" s="6" t="n">
        <v>173566</v>
      </c>
      <c r="D50" s="6" t="n">
        <v>173566</v>
      </c>
      <c r="E50" s="7" t="n">
        <f aca="false">C50-D50</f>
        <v>0</v>
      </c>
      <c r="F50" s="5" t="str">
        <f aca="false">IF(E50=0,"OK","DIFERENÇA")</f>
        <v>OK</v>
      </c>
      <c r="G50" s="5" t="s">
        <v>41</v>
      </c>
    </row>
    <row r="51" customFormat="false" ht="15" hidden="false" customHeight="true" outlineLevel="0" collapsed="false">
      <c r="A51" s="5" t="s">
        <v>137</v>
      </c>
      <c r="B51" s="5" t="s">
        <v>138</v>
      </c>
      <c r="C51" s="6" t="n">
        <v>19714581</v>
      </c>
      <c r="D51" s="6" t="n">
        <v>19714581</v>
      </c>
      <c r="E51" s="7" t="n">
        <f aca="false">C51-D51</f>
        <v>0</v>
      </c>
      <c r="F51" s="5" t="str">
        <f aca="false">IF(E51=0,"OK","DIFERENÇA")</f>
        <v>OK</v>
      </c>
      <c r="G51" s="5" t="s">
        <v>41</v>
      </c>
    </row>
    <row r="52" customFormat="false" ht="27.75" hidden="false" customHeight="true" outlineLevel="0" collapsed="false">
      <c r="A52" s="5" t="s">
        <v>139</v>
      </c>
      <c r="B52" s="5" t="s">
        <v>140</v>
      </c>
      <c r="C52" s="6" t="n">
        <v>356701</v>
      </c>
      <c r="D52" s="6" t="n">
        <v>356701</v>
      </c>
      <c r="E52" s="7" t="n">
        <f aca="false">C52-D52</f>
        <v>0</v>
      </c>
      <c r="F52" s="5" t="str">
        <f aca="false">IF(E52=0,"OK","DIFERENÇA")</f>
        <v>OK</v>
      </c>
      <c r="G52" s="5" t="s">
        <v>41</v>
      </c>
    </row>
    <row r="53" customFormat="false" ht="15" hidden="false" customHeight="true" outlineLevel="0" collapsed="false">
      <c r="A53" s="5" t="s">
        <v>141</v>
      </c>
      <c r="B53" s="5" t="s">
        <v>142</v>
      </c>
      <c r="C53" s="6" t="n">
        <v>20071282</v>
      </c>
      <c r="D53" s="6" t="n">
        <v>20071282</v>
      </c>
      <c r="E53" s="7" t="n">
        <f aca="false">C53-D53</f>
        <v>0</v>
      </c>
      <c r="F53" s="5" t="str">
        <f aca="false">IF(E53=0,"OK","DIFERENÇA")</f>
        <v>OK</v>
      </c>
      <c r="G53" s="5" t="s">
        <v>41</v>
      </c>
    </row>
    <row r="54" customFormat="false" ht="15" hidden="false" customHeight="true" outlineLevel="0" collapsed="false">
      <c r="A54" s="5" t="s">
        <v>143</v>
      </c>
      <c r="B54" s="5" t="s">
        <v>144</v>
      </c>
      <c r="C54" s="6" t="n">
        <v>43304632</v>
      </c>
      <c r="D54" s="6" t="n">
        <v>43304632</v>
      </c>
      <c r="E54" s="7" t="n">
        <f aca="false">C54-D54</f>
        <v>0</v>
      </c>
      <c r="F54" s="5" t="str">
        <f aca="false">IF(E54=0,"OK","DIFERENÇA")</f>
        <v>OK</v>
      </c>
      <c r="G54" s="5" t="s">
        <v>41</v>
      </c>
    </row>
    <row r="55" customFormat="false" ht="27.75" hidden="false" customHeight="true" outlineLevel="0" collapsed="false">
      <c r="A55" s="5" t="s">
        <v>145</v>
      </c>
      <c r="B55" s="5" t="s">
        <v>146</v>
      </c>
      <c r="C55" s="6" t="n">
        <v>271483</v>
      </c>
      <c r="D55" s="6" t="n">
        <v>271483</v>
      </c>
      <c r="E55" s="7" t="n">
        <f aca="false">C55-D55</f>
        <v>0</v>
      </c>
      <c r="F55" s="5" t="str">
        <f aca="false">IF(E55=0,"OK","DIFERENÇA")</f>
        <v>OK</v>
      </c>
      <c r="G55" s="5" t="s">
        <v>147</v>
      </c>
    </row>
    <row r="57" customFormat="false" ht="15" hidden="false" customHeight="true" outlineLevel="0" collapsed="false">
      <c r="A57" s="5"/>
      <c r="B57" s="5" t="s">
        <v>148</v>
      </c>
      <c r="C57" s="5"/>
      <c r="D57" s="5"/>
      <c r="E57" s="5" t="n">
        <f aca="false">COUNTIF(F2:F55,"DIFERENÇA")</f>
        <v>2</v>
      </c>
    </row>
    <row r="58" customFormat="false" ht="27.75" hidden="false" customHeight="true" outlineLevel="0" collapsed="false">
      <c r="A58" s="5"/>
      <c r="B58" s="5" t="s">
        <v>149</v>
      </c>
      <c r="C58" s="5"/>
      <c r="D58" s="5"/>
      <c r="E58" s="7" t="n">
        <f aca="false">SUM(E2:E55)</f>
        <v>0</v>
      </c>
    </row>
    <row r="59" customFormat="false" ht="15" hidden="false" customHeight="true" outlineLevel="0" collapsed="false">
      <c r="A59" s="5"/>
      <c r="B59" s="5" t="s">
        <v>150</v>
      </c>
      <c r="C59" s="5"/>
      <c r="D59" s="5"/>
      <c r="E59" s="8" t="n">
        <f aca="false">E33/90000</f>
        <v>2.71481111111111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20"/>
    <col collapsed="false" customWidth="true" hidden="false" outlineLevel="0" max="4" min="4" style="1" width="50"/>
  </cols>
  <sheetData>
    <row r="1" customFormat="false" ht="27.75" hidden="false" customHeight="true" outlineLevel="0" collapsed="false">
      <c r="A1" s="4" t="s">
        <v>151</v>
      </c>
      <c r="B1" s="4" t="s">
        <v>152</v>
      </c>
      <c r="C1" s="4" t="s">
        <v>153</v>
      </c>
      <c r="D1" s="4" t="s">
        <v>154</v>
      </c>
    </row>
    <row r="2" customFormat="false" ht="15" hidden="false" customHeight="true" outlineLevel="0" collapsed="false">
      <c r="A2" s="5" t="s">
        <v>155</v>
      </c>
      <c r="B2" s="6" t="n">
        <v>25989375</v>
      </c>
      <c r="C2" s="6" t="n">
        <v>31046823</v>
      </c>
      <c r="D2" s="5" t="s">
        <v>156</v>
      </c>
    </row>
    <row r="3" customFormat="false" ht="15" hidden="false" customHeight="true" outlineLevel="0" collapsed="false">
      <c r="A3" s="5" t="s">
        <v>157</v>
      </c>
      <c r="B3" s="6" t="n">
        <v>4461867</v>
      </c>
      <c r="C3" s="6" t="n">
        <v>6330048</v>
      </c>
      <c r="D3" s="5"/>
    </row>
    <row r="4" customFormat="false" ht="15" hidden="false" customHeight="true" outlineLevel="0" collapsed="false">
      <c r="A4" s="5" t="s">
        <v>158</v>
      </c>
      <c r="B4" s="6" t="n">
        <v>98780</v>
      </c>
      <c r="C4" s="6" t="n">
        <v>-10513</v>
      </c>
      <c r="D4" s="5"/>
    </row>
    <row r="5" customFormat="false" ht="15" hidden="false" customHeight="true" outlineLevel="0" collapsed="false">
      <c r="A5" s="5" t="s">
        <v>159</v>
      </c>
      <c r="B5" s="6" t="n">
        <v>3028571</v>
      </c>
      <c r="C5" s="6" t="n">
        <v>2949237</v>
      </c>
      <c r="D5" s="5" t="s">
        <v>160</v>
      </c>
    </row>
    <row r="6" customFormat="false" ht="15" hidden="false" customHeight="true" outlineLevel="0" collapsed="false">
      <c r="A6" s="5" t="s">
        <v>161</v>
      </c>
      <c r="B6" s="6" t="n">
        <v>1363819</v>
      </c>
      <c r="C6" s="6" t="n">
        <v>1264867</v>
      </c>
      <c r="D6" s="5"/>
    </row>
    <row r="7" customFormat="false" ht="15" hidden="false" customHeight="true" outlineLevel="0" collapsed="false">
      <c r="A7" s="5" t="s">
        <v>162</v>
      </c>
      <c r="B7" s="6" t="n">
        <v>1313723</v>
      </c>
      <c r="C7" s="6" t="n">
        <v>159203</v>
      </c>
      <c r="D7" s="5"/>
    </row>
    <row r="8" customFormat="false" ht="15" hidden="false" customHeight="true" outlineLevel="0" collapsed="false">
      <c r="A8" s="5" t="s">
        <v>163</v>
      </c>
      <c r="B8" s="6" t="n">
        <v>-3817</v>
      </c>
      <c r="C8" s="6" t="n">
        <v>-4286</v>
      </c>
      <c r="D8" s="5"/>
    </row>
    <row r="9" customFormat="false" ht="15" hidden="false" customHeight="true" outlineLevel="0" collapsed="false">
      <c r="A9" s="5" t="s">
        <v>164</v>
      </c>
      <c r="B9" s="6" t="n">
        <v>-5205495</v>
      </c>
      <c r="C9" s="6" t="n">
        <v>-5304081</v>
      </c>
      <c r="D9" s="5"/>
    </row>
    <row r="10" customFormat="false" ht="15" hidden="false" customHeight="true" outlineLevel="0" collapsed="false">
      <c r="A10" s="5" t="s">
        <v>165</v>
      </c>
      <c r="B10" s="7" t="n">
        <f aca="false">SUM(B2:B9)</f>
        <v>31046823</v>
      </c>
      <c r="C10" s="7" t="n">
        <f aca="false">SUM(C2:C9)</f>
        <v>36431298</v>
      </c>
      <c r="D10" s="5"/>
    </row>
    <row r="11" customFormat="false" ht="15" hidden="false" customHeight="true" outlineLevel="0" collapsed="false">
      <c r="A11" s="5" t="s">
        <v>166</v>
      </c>
      <c r="B11" s="6" t="n">
        <v>31046823</v>
      </c>
      <c r="C11" s="6" t="n">
        <v>36431298</v>
      </c>
      <c r="D11" s="5" t="s">
        <v>167</v>
      </c>
    </row>
    <row r="12" customFormat="false" ht="15" hidden="false" customHeight="true" outlineLevel="0" collapsed="false">
      <c r="A12" s="5" t="s">
        <v>36</v>
      </c>
      <c r="B12" s="7" t="n">
        <f aca="false">B10-B11</f>
        <v>0</v>
      </c>
      <c r="C12" s="7" t="n">
        <f aca="false">C10-C11</f>
        <v>0</v>
      </c>
      <c r="D12" s="5" t="s">
        <v>168</v>
      </c>
    </row>
    <row r="13" customFormat="false" ht="15" hidden="false" customHeight="true" outlineLevel="0" collapsed="false">
      <c r="A13" s="5" t="s">
        <v>169</v>
      </c>
      <c r="B13" s="5" t="str">
        <f aca="false">IF(B11=C2,"OK","DIFERENÇA")</f>
        <v>OK</v>
      </c>
      <c r="C13" s="5"/>
      <c r="D13" s="5" t="s">
        <v>170</v>
      </c>
    </row>
    <row r="14" customFormat="false" ht="15" hidden="false" customHeight="true" outlineLevel="0" collapsed="false">
      <c r="A14" s="5" t="s">
        <v>171</v>
      </c>
      <c r="B14" s="6" t="n">
        <v>31046823</v>
      </c>
      <c r="C14" s="5"/>
      <c r="D14" s="5" t="s">
        <v>172</v>
      </c>
    </row>
    <row r="15" customFormat="false" ht="15" hidden="false" customHeight="true" outlineLevel="0" collapsed="false">
      <c r="A15" s="5" t="s">
        <v>173</v>
      </c>
      <c r="B15" s="5" t="str">
        <f aca="false">IF(B14=C2,"OK","DIFERENÇA")</f>
        <v>OK</v>
      </c>
      <c r="C15" s="5"/>
      <c r="D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  <col collapsed="false" customWidth="true" hidden="false" outlineLevel="0" max="3" min="3" style="1" width="2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4" t="s">
        <v>174</v>
      </c>
      <c r="B1" s="4" t="s">
        <v>175</v>
      </c>
      <c r="C1" s="4" t="s">
        <v>7</v>
      </c>
      <c r="D1" s="4" t="s">
        <v>176</v>
      </c>
    </row>
    <row r="2" customFormat="false" ht="15" hidden="false" customHeight="true" outlineLevel="0" collapsed="false">
      <c r="A2" s="5" t="s">
        <v>177</v>
      </c>
      <c r="B2" s="5" t="s">
        <v>178</v>
      </c>
      <c r="C2" s="5" t="s">
        <v>179</v>
      </c>
      <c r="D2" s="5" t="s">
        <v>180</v>
      </c>
    </row>
    <row r="3" customFormat="false" ht="27.75" hidden="false" customHeight="true" outlineLevel="0" collapsed="false">
      <c r="A3" s="5" t="s">
        <v>181</v>
      </c>
      <c r="B3" s="5" t="s">
        <v>182</v>
      </c>
      <c r="C3" s="5" t="s">
        <v>179</v>
      </c>
      <c r="D3" s="5" t="s">
        <v>183</v>
      </c>
    </row>
    <row r="4" customFormat="false" ht="27.75" hidden="false" customHeight="true" outlineLevel="0" collapsed="false">
      <c r="A4" s="5" t="s">
        <v>184</v>
      </c>
      <c r="B4" s="5" t="s">
        <v>185</v>
      </c>
      <c r="C4" s="5" t="s">
        <v>186</v>
      </c>
      <c r="D4" s="5" t="s">
        <v>187</v>
      </c>
    </row>
    <row r="5" customFormat="false" ht="15" hidden="false" customHeight="true" outlineLevel="0" collapsed="false">
      <c r="A5" s="5" t="s">
        <v>188</v>
      </c>
      <c r="B5" s="5" t="s">
        <v>189</v>
      </c>
      <c r="C5" s="5" t="s">
        <v>190</v>
      </c>
      <c r="D5" s="5" t="s">
        <v>191</v>
      </c>
    </row>
    <row r="6" customFormat="false" ht="54.75" hidden="false" customHeight="true" outlineLevel="0" collapsed="false">
      <c r="A6" s="5" t="s">
        <v>192</v>
      </c>
      <c r="B6" s="5" t="s">
        <v>193</v>
      </c>
      <c r="C6" s="5" t="s">
        <v>194</v>
      </c>
      <c r="D6" s="5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50"/>
    <col collapsed="false" customWidth="true" hidden="false" outlineLevel="0" max="3" min="3" style="1" width="60"/>
  </cols>
  <sheetData>
    <row r="1" customFormat="false" ht="15" hidden="false" customHeight="true" outlineLevel="0" collapsed="false">
      <c r="A1" s="4" t="s">
        <v>196</v>
      </c>
      <c r="B1" s="4" t="s">
        <v>197</v>
      </c>
      <c r="C1" s="4" t="s">
        <v>198</v>
      </c>
    </row>
    <row r="2" customFormat="false" ht="27.75" hidden="false" customHeight="true" outlineLevel="0" collapsed="false">
      <c r="A2" s="5" t="s">
        <v>199</v>
      </c>
      <c r="B2" s="5" t="s">
        <v>200</v>
      </c>
      <c r="C2" s="5" t="s">
        <v>201</v>
      </c>
    </row>
    <row r="3" customFormat="false" ht="27.75" hidden="false" customHeight="true" outlineLevel="0" collapsed="false">
      <c r="A3" s="5" t="s">
        <v>202</v>
      </c>
      <c r="B3" s="5" t="s">
        <v>203</v>
      </c>
      <c r="C3" s="5" t="s">
        <v>204</v>
      </c>
    </row>
    <row r="4" customFormat="false" ht="15" hidden="false" customHeight="true" outlineLevel="0" collapsed="false">
      <c r="A4" s="5" t="s">
        <v>205</v>
      </c>
      <c r="B4" s="5" t="s">
        <v>206</v>
      </c>
      <c r="C4" s="5" t="s">
        <v>207</v>
      </c>
    </row>
    <row r="5" customFormat="false" ht="15" hidden="false" customHeight="true" outlineLevel="0" collapsed="false">
      <c r="A5" s="5" t="s">
        <v>208</v>
      </c>
      <c r="B5" s="5" t="s">
        <v>209</v>
      </c>
      <c r="C5" s="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0"/>
  </cols>
  <sheetData>
    <row r="1" customFormat="false" ht="15" hidden="false" customHeight="false" outlineLevel="0" collapsed="false">
      <c r="A1" s="0" t="s">
        <v>5</v>
      </c>
      <c r="B1" s="0" t="s">
        <v>211</v>
      </c>
    </row>
    <row r="2" customFormat="false" ht="15" hidden="false" customHeight="false" outlineLevel="0" collapsed="false">
      <c r="A2" s="0" t="s">
        <v>212</v>
      </c>
      <c r="B2" s="0" t="n">
        <v>0.9001</v>
      </c>
    </row>
    <row r="3" customFormat="false" ht="15" hidden="false" customHeight="false" outlineLevel="0" collapsed="false">
      <c r="A3" s="0" t="s">
        <v>213</v>
      </c>
      <c r="B3" s="0" t="s">
        <v>214</v>
      </c>
    </row>
    <row r="4" customFormat="false" ht="15" hidden="false" customHeight="false" outlineLevel="0" collapsed="false">
      <c r="A4" s="0" t="s">
        <v>215</v>
      </c>
      <c r="B4" s="0" t="s">
        <v>216</v>
      </c>
    </row>
    <row r="5" customFormat="false" ht="15" hidden="false" customHeight="false" outlineLevel="0" collapsed="false">
      <c r="A5" s="0" t="s">
        <v>215</v>
      </c>
      <c r="B5" s="0" t="s">
        <v>217</v>
      </c>
    </row>
    <row r="6" customFormat="false" ht="15" hidden="false" customHeight="false" outlineLevel="0" collapsed="false">
      <c r="A6" s="0" t="s">
        <v>215</v>
      </c>
      <c r="B6" s="0" t="s">
        <v>218</v>
      </c>
    </row>
    <row r="7" customFormat="false" ht="15" hidden="false" customHeight="false" outlineLevel="0" collapsed="false">
      <c r="A7" s="0" t="s">
        <v>215</v>
      </c>
      <c r="B7" s="0" t="s">
        <v>219</v>
      </c>
    </row>
    <row r="8" customFormat="false" ht="15" hidden="false" customHeight="false" outlineLevel="0" collapsed="false">
      <c r="A8" s="0" t="s">
        <v>220</v>
      </c>
      <c r="B8" s="0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2026-10-21T08:33:22Z</dcterms:created>
  <dc:creator>openpyxl</dc:creator>
  <dc:description/>
  <dc:language>en-US</dc:language>
  <cp:lastModifiedBy/>
  <dcterms:modified xsi:type="dcterms:W3CDTF">2026-10-21T08:33:46Z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