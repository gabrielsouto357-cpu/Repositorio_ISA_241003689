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" sheetId="1" state="visible" r:id="rId3"/>
    <sheet name="Nota22_balanco" sheetId="2" state="visible" r:id="rId4"/>
    <sheet name="Nota22_resultado" sheetId="3" state="visible" r:id="rId5"/>
    <sheet name="FRE_x_Nota22" sheetId="4" state="visible" r:id="rId6"/>
    <sheet name="Estrutura_societaria" sheetId="5" state="visible" r:id="rId7"/>
    <sheet name="Busca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<sst xmlns="http://schemas.openxmlformats.org/spreadsheetml/2006/main" count="267" uniqueCount="141">
  <si>
    <t xml:space="preserve">PT 550 – Partes relacionadas – ISA Energia Brasil 2025 (fontes públicas; R$ mil)</t>
  </si>
  <si>
    <t xml:space="preserve">A lista divulgada (nota 22; FRE 11.2) NÃO comprova completude. Busca de relações não divulgadas: aba Busca (procedimentos [RP] executados e [PA] planejados).</t>
  </si>
  <si>
    <t xml:space="preserve">Origem de cada dado na coluna Fonte. Nota 22 transcrita por código (dados/F0003_nota22_transcricao.csv) e somada por fórmula.</t>
  </si>
  <si>
    <t xml:space="preserve">Células amarelas = dados transcritos (fonte e página na coluna própria) ou premissas; demais = fórmulas.</t>
  </si>
  <si>
    <t xml:space="preserve">Preparado por: matrícula 241003689 (execução assistida por IA) em 21/10/2026. Revisão humana: ____________ (em branco).</t>
  </si>
  <si>
    <t xml:space="preserve">Parte</t>
  </si>
  <si>
    <t xml:space="preserve">Vínculo</t>
  </si>
  <si>
    <t xml:space="preserve">Dividendos/JCP</t>
  </si>
  <si>
    <t xml:space="preserve">Sublocação/reembolso</t>
  </si>
  <si>
    <t xml:space="preserve">Prestação de serviços</t>
  </si>
  <si>
    <t xml:space="preserve">Aplicações em fundos</t>
  </si>
  <si>
    <t xml:space="preserve">Outros</t>
  </si>
  <si>
    <t xml:space="preserve">Total 2025 (publicado)</t>
  </si>
  <si>
    <t xml:space="preserve">Total 2025 (soma)</t>
  </si>
  <si>
    <t xml:space="preserve">Dif.</t>
  </si>
  <si>
    <t xml:space="preserve">Total 2024 (publicado)</t>
  </si>
  <si>
    <t xml:space="preserve">Fonte</t>
  </si>
  <si>
    <t xml:space="preserve">ISA Capital</t>
  </si>
  <si>
    <t xml:space="preserve">Acionista controlador direto (ISA Capital do Brasil S.A.)</t>
  </si>
  <si>
    <t xml:space="preserve">F0003 p.109</t>
  </si>
  <si>
    <t xml:space="preserve">IEMG</t>
  </si>
  <si>
    <t xml:space="preserve">Controlada</t>
  </si>
  <si>
    <t xml:space="preserve">IEPinheiros</t>
  </si>
  <si>
    <t xml:space="preserve">IESerra do Japi</t>
  </si>
  <si>
    <t xml:space="preserve">Evrecy</t>
  </si>
  <si>
    <t xml:space="preserve">IENNE</t>
  </si>
  <si>
    <t xml:space="preserve">IEItaúnas</t>
  </si>
  <si>
    <t xml:space="preserve">IETibagi</t>
  </si>
  <si>
    <t xml:space="preserve">IEItaquerê</t>
  </si>
  <si>
    <t xml:space="preserve">IEItapura</t>
  </si>
  <si>
    <t xml:space="preserve">IEAguapei</t>
  </si>
  <si>
    <t xml:space="preserve">IESul</t>
  </si>
  <si>
    <t xml:space="preserve">IEGaranhuns</t>
  </si>
  <si>
    <t xml:space="preserve">Controlada em conjunto (JV)</t>
  </si>
  <si>
    <t xml:space="preserve">IEMadeira</t>
  </si>
  <si>
    <t xml:space="preserve">IEBiguaçu</t>
  </si>
  <si>
    <t xml:space="preserve">Riacho Grande</t>
  </si>
  <si>
    <t xml:space="preserve">IEAimorés</t>
  </si>
  <si>
    <t xml:space="preserve">IEParaguaçu</t>
  </si>
  <si>
    <t xml:space="preserve">IEIvaí</t>
  </si>
  <si>
    <t xml:space="preserve">IEJaguar 6</t>
  </si>
  <si>
    <t xml:space="preserve">IEJaguar 8</t>
  </si>
  <si>
    <t xml:space="preserve">IEJaguar 9</t>
  </si>
  <si>
    <t xml:space="preserve">Eletrobras (nota 14.1.3 (ii))</t>
  </si>
  <si>
    <t xml:space="preserve">Acionista relevante (Axia Energia S.A., antiga Eletrobras – mesmo CNPJ base 00.001.180 no FRE 2026)</t>
  </si>
  <si>
    <t xml:space="preserve">Bandeirantes</t>
  </si>
  <si>
    <t xml:space="preserve">Fundo exclusivo consolidado (49%)</t>
  </si>
  <si>
    <t xml:space="preserve">Xavantes</t>
  </si>
  <si>
    <t xml:space="preserve">Fundo exclusivo consolidado (58%)</t>
  </si>
  <si>
    <t xml:space="preserve">Assis</t>
  </si>
  <si>
    <t xml:space="preserve">Fundo exclusivo (100%)</t>
  </si>
  <si>
    <t xml:space="preserve">Barra Bonita</t>
  </si>
  <si>
    <t xml:space="preserve">Total</t>
  </si>
  <si>
    <t xml:space="preserve">Soma das linhas (exceto Total)</t>
  </si>
  <si>
    <t xml:space="preserve">Soma − linha Total publicada</t>
  </si>
  <si>
    <t xml:space="preserve">Saldos com JVs (não eliminados no consolidado)</t>
  </si>
  <si>
    <t xml:space="preserve">BP consolidado – Créditos com partes relacionadas (A07)</t>
  </si>
  <si>
    <t xml:space="preserve">Diferença (hipótese: outros créditos com JVs/controladores fora da tabela)</t>
  </si>
  <si>
    <t xml:space="preserve">Benefícios curto prazo</t>
  </si>
  <si>
    <t xml:space="preserve">Rend. fundos</t>
  </si>
  <si>
    <t xml:space="preserve">Total 2024</t>
  </si>
  <si>
    <t xml:space="preserve">Administração</t>
  </si>
  <si>
    <t xml:space="preserve">F0003 p.110</t>
  </si>
  <si>
    <t xml:space="preserve">IEtapura</t>
  </si>
  <si>
    <t xml:space="preserve">Internexa Brasil</t>
  </si>
  <si>
    <t xml:space="preserve">IABRATE</t>
  </si>
  <si>
    <t xml:space="preserve">Soma − Total publicado (2025 / 2024)</t>
  </si>
  <si>
    <t xml:space="preserve">Honorários na DRE (R08) × nota 22.2</t>
  </si>
  <si>
    <t xml:space="preserve">DRE p.25</t>
  </si>
  <si>
    <t xml:space="preserve">Parte (FRE 2026 v8, item 11.2)</t>
  </si>
  <si>
    <t xml:space="preserve">Objeto</t>
  </si>
  <si>
    <t xml:space="preserve">Montante (FRE, R$ mil)</t>
  </si>
  <si>
    <t xml:space="preserve">Saldo na nota 22 2025 (R$ mil)</t>
  </si>
  <si>
    <t xml:space="preserve">Diferença</t>
  </si>
  <si>
    <t xml:space="preserve">Leitura</t>
  </si>
  <si>
    <t xml:space="preserve">Centrais Elétricas Brasileiras S.A. (Axia/Eletrobras)</t>
  </si>
  <si>
    <t xml:space="preserve">Indenização prorrogação Concessão Paulista (Lei 12.783)</t>
  </si>
  <si>
    <t xml:space="preserve">FRE informa saldo em 31/03/2026 com data 31/12/2025; nota 22 "Outros" (58.837). Diferença a explicar – datas/atualização</t>
  </si>
  <si>
    <t xml:space="preserve">F0054 p.380 (pdf 384); F0003 p.109</t>
  </si>
  <si>
    <t xml:space="preserve">Centrais Elétricas Brasileiras S.A.</t>
  </si>
  <si>
    <t xml:space="preserve">Dividendos/JCP a pagar</t>
  </si>
  <si>
    <t xml:space="preserve">Confere</t>
  </si>
  <si>
    <t xml:space="preserve">F0054 p.381; F0003 p.109</t>
  </si>
  <si>
    <t xml:space="preserve">IE Garanhuns</t>
  </si>
  <si>
    <t xml:space="preserve">Dividendos/JCP a receber</t>
  </si>
  <si>
    <t xml:space="preserve">F0054 p.382; F0003 p.109</t>
  </si>
  <si>
    <t xml:space="preserve">IE Madeira</t>
  </si>
  <si>
    <t xml:space="preserve">F0054 p.386; F0003 p.109</t>
  </si>
  <si>
    <t xml:space="preserve">ISA Capital do Brasil S.A.</t>
  </si>
  <si>
    <t xml:space="preserve">JCP/dividendos a pagar</t>
  </si>
  <si>
    <t xml:space="preserve">F0054 p.389; F0003 p.109</t>
  </si>
  <si>
    <t xml:space="preserve">IE Ivaí</t>
  </si>
  <si>
    <t xml:space="preserve">O&amp;M e sublocação (contratos de 2020 e 2022)</t>
  </si>
  <si>
    <t xml:space="preserve">Montantes contratuais ≠ saldos – bases diferentes (não comparáveis)</t>
  </si>
  <si>
    <t xml:space="preserve">F0054 p.384–385; F0003 p.109</t>
  </si>
  <si>
    <t xml:space="preserve">Acionista</t>
  </si>
  <si>
    <t xml:space="preserve">% capital total</t>
  </si>
  <si>
    <t xml:space="preserve">% ON</t>
  </si>
  <si>
    <t xml:space="preserve">Data / documento</t>
  </si>
  <si>
    <t xml:space="preserve">ISA Capital do Brasil S.A. (controladora direta)</t>
  </si>
  <si>
    <t xml:space="preserve">Posição divulgada no RA 2025</t>
  </si>
  <si>
    <t xml:space="preserve">F0003 p.5 (RA)</t>
  </si>
  <si>
    <t xml:space="preserve">Axia Energia (ex-Eletrobras)</t>
  </si>
  <si>
    <t xml:space="preserve">Idem</t>
  </si>
  <si>
    <t xml:space="preserve">FRE 2026 v8 – última alteração 06/10/2017</t>
  </si>
  <si>
    <t xml:space="preserve">F0054 p.260</t>
  </si>
  <si>
    <t xml:space="preserve">Axia Energia S.A. (2 CNPJs)</t>
  </si>
  <si>
    <t xml:space="preserve">FRE 2026 v8 – alteração 07/04/2026</t>
  </si>
  <si>
    <t xml:space="preserve">Controladora final: Interconexión Eléctrica S.A. E.S.P.; acionista majoritário Ecopetrol S.A. (51,41%)</t>
  </si>
  <si>
    <t xml:space="preserve">DFs 2025</t>
  </si>
  <si>
    <t xml:space="preserve">F0003 p.5, 35, 129</t>
  </si>
  <si>
    <t xml:space="preserve">Percentuais divergem entre F0003 (RA) e FRE 2026 v8 – datas e totais de ações diferentes (2026 posterior). Não resolvido; não altera a identificação das partes.</t>
  </si>
  <si>
    <t xml:space="preserve">Procedimento (550 it. 13–16, 20–22)</t>
  </si>
  <si>
    <t xml:space="preserve">Modalidade</t>
  </si>
  <si>
    <t xml:space="preserve">Resultado / estado</t>
  </si>
  <si>
    <t xml:space="preserve">Comparar nota 22 com FRE 11.2 (lista e valores)</t>
  </si>
  <si>
    <t xml:space="preserve">[RP]</t>
  </si>
  <si>
    <t xml:space="preserve">5 saldos conferem; Eletrobras: 61.152 × 58.837 a explicar</t>
  </si>
  <si>
    <t xml:space="preserve">Aba FRE_x_Nota22</t>
  </si>
  <si>
    <t xml:space="preserve">Verificar se o plano de benefício pós-emprego (Vivest) – parte relacionada pelo CPC 05 (R1) item 9(b)(v) – está divulgado como tal</t>
  </si>
  <si>
    <t xml:space="preserve">Nota 22 não lista o plano nem a Vivest; a nota 11.4 divulga contratos de confissão de dívida com a Vivest (total R$546.524) para equacionar déficit do PSAP. Divulgação existe, mas fora da nota de partes relacionadas – assunto de apresentação a avaliar (CPC 05), não conclusão</t>
  </si>
  <si>
    <t xml:space="preserve">F0003 p.78, 82</t>
  </si>
  <si>
    <t xml:space="preserve">Identificar empresas do grupo ISA (controladora final) com transações: Internexa Brasil aparece só em 2024 (184)</t>
  </si>
  <si>
    <t xml:space="preserve">Lista do grupo ISA no Brasil não obtida; [PA] pedir organograma completo</t>
  </si>
  <si>
    <t xml:space="preserve">Ler atas do CA de 2025 para transações aprovadas com partes relacionadas</t>
  </si>
  <si>
    <t xml:space="preserve">[RP] parcial</t>
  </si>
  <si>
    <t xml:space="preserve">Atas lidas no B04 (P22) para outros fins; leitura dirigida a partes relacionadas ainda não feita – refazer</t>
  </si>
  <si>
    <t xml:space="preserve">PENDENCIAS P22</t>
  </si>
  <si>
    <t xml:space="preserve">Cruzar cadastro de fornecedores e clientes com QSA de administradores/acionistas</t>
  </si>
  <si>
    <t xml:space="preserve">[PA]</t>
  </si>
  <si>
    <t xml:space="preserve">Sem acesso ao cadastro</t>
  </si>
  <si>
    <t xml:space="preserve">—</t>
  </si>
  <si>
    <t xml:space="preserve">Indagar administração e governança (it. 13–14) e obter representação (it. 26)</t>
  </si>
  <si>
    <t xml:space="preserve">[PA]/[SD]</t>
  </si>
  <si>
    <t xml:space="preserve">Sem contato; minuta no PT 580 (futuro)</t>
  </si>
  <si>
    <t xml:space="preserve">Inspecionar contratos de mútuo/garantias com controladas e JVs (interveniência em financiamentos)</t>
  </si>
  <si>
    <t xml:space="preserve">Nota 6.2 cita garantias às controladas e JVs (F0003 p.118) – contratos não públicos</t>
  </si>
  <si>
    <t xml:space="preserve">F0003 p.118</t>
  </si>
  <si>
    <t xml:space="preserve">Avaliar afirmação de "condições de mercado"</t>
  </si>
  <si>
    <t xml:space="preserve">Nota diz "condições e prazos estabelecidos contratualmente" – não afirma equivalência com partes independentes (550 it. 24 não acionado)</t>
  </si>
  <si>
    <t xml:space="preserve">F0003 p.111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</si>
</sst>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[RED]\-#,##0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9" min="8" style="0" width="14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2"/>
  </cols>
  <sheetData>
    <row r="1" customFormat="false" ht="28.35" hidden="false" customHeight="false" outlineLevel="0" collapsed="false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  <c r="H1" s="3" t="s">
        <v>12</v>
      </c>
      <c r="I1" s="3" t="s">
        <v>13</v>
      </c>
      <c r="J1" s="3" t="s">
        <v>14</v>
      </c>
      <c r="K1" s="3" t="s">
        <v>15</v>
      </c>
      <c r="L1" s="3" t="s">
        <v>16</v>
      </c>
    </row>
    <row r="2" customFormat="false" ht="28.35" hidden="false" customHeight="false" outlineLevel="0" collapsed="false">
      <c r="A2" s="4" t="s">
        <v>17</v>
      </c>
      <c r="B2" s="4" t="s">
        <v>18</v>
      </c>
      <c r="C2" s="5" t="n">
        <v>-421705</v>
      </c>
      <c r="D2" s="5" t="n">
        <v>34</v>
      </c>
      <c r="E2" s="5" t="n">
        <v>100</v>
      </c>
      <c r="F2" s="5" t="n">
        <v>0</v>
      </c>
      <c r="G2" s="5" t="n">
        <v>0</v>
      </c>
      <c r="H2" s="5" t="n">
        <v>-421571</v>
      </c>
      <c r="I2" s="6" t="n">
        <f aca="false">SUM(C2:G2)</f>
        <v>-421571</v>
      </c>
      <c r="J2" s="6" t="n">
        <f aca="false">H2-I2</f>
        <v>0</v>
      </c>
      <c r="K2" s="5" t="n">
        <v>-473405</v>
      </c>
      <c r="L2" s="4" t="s">
        <v>19</v>
      </c>
    </row>
    <row r="3" customFormat="false" ht="15" hidden="false" customHeight="false" outlineLevel="0" collapsed="false">
      <c r="A3" s="4" t="s">
        <v>20</v>
      </c>
      <c r="B3" s="4" t="s">
        <v>21</v>
      </c>
      <c r="C3" s="5" t="n">
        <v>12687</v>
      </c>
      <c r="D3" s="5" t="n">
        <v>746</v>
      </c>
      <c r="E3" s="5" t="n">
        <v>1723</v>
      </c>
      <c r="F3" s="5" t="n">
        <v>0</v>
      </c>
      <c r="G3" s="5" t="n">
        <v>0</v>
      </c>
      <c r="H3" s="5" t="n">
        <v>15156</v>
      </c>
      <c r="I3" s="6" t="n">
        <f aca="false">SUM(C3:G3)</f>
        <v>15156</v>
      </c>
      <c r="J3" s="6" t="n">
        <f aca="false">H3-I3</f>
        <v>0</v>
      </c>
      <c r="K3" s="5" t="n">
        <v>8973</v>
      </c>
      <c r="L3" s="4" t="s">
        <v>19</v>
      </c>
    </row>
    <row r="4" customFormat="false" ht="15" hidden="false" customHeight="false" outlineLevel="0" collapsed="false">
      <c r="A4" s="4" t="s">
        <v>22</v>
      </c>
      <c r="B4" s="4" t="s">
        <v>21</v>
      </c>
      <c r="C4" s="5" t="n">
        <v>1641</v>
      </c>
      <c r="D4" s="5" t="n">
        <v>53</v>
      </c>
      <c r="E4" s="5" t="n">
        <v>14</v>
      </c>
      <c r="F4" s="5" t="n">
        <v>0</v>
      </c>
      <c r="G4" s="5" t="n">
        <v>0</v>
      </c>
      <c r="H4" s="5" t="n">
        <v>1708</v>
      </c>
      <c r="I4" s="6" t="n">
        <f aca="false">SUM(C4:G4)</f>
        <v>1708</v>
      </c>
      <c r="J4" s="6" t="n">
        <f aca="false">H4-I4</f>
        <v>0</v>
      </c>
      <c r="K4" s="5" t="n">
        <v>8911</v>
      </c>
      <c r="L4" s="4" t="s">
        <v>19</v>
      </c>
    </row>
    <row r="5" customFormat="false" ht="15" hidden="false" customHeight="false" outlineLevel="0" collapsed="false">
      <c r="A5" s="4" t="s">
        <v>23</v>
      </c>
      <c r="B5" s="4" t="s">
        <v>21</v>
      </c>
      <c r="C5" s="5" t="n">
        <v>13946</v>
      </c>
      <c r="D5" s="5" t="n">
        <v>252</v>
      </c>
      <c r="E5" s="5" t="n">
        <v>147</v>
      </c>
      <c r="F5" s="5" t="n">
        <v>0</v>
      </c>
      <c r="G5" s="5" t="n">
        <v>0</v>
      </c>
      <c r="H5" s="5" t="n">
        <v>14345</v>
      </c>
      <c r="I5" s="6" t="n">
        <f aca="false">SUM(C5:G5)</f>
        <v>14345</v>
      </c>
      <c r="J5" s="6" t="n">
        <f aca="false">H5-I5</f>
        <v>0</v>
      </c>
      <c r="K5" s="5" t="n">
        <v>14564</v>
      </c>
      <c r="L5" s="4" t="s">
        <v>19</v>
      </c>
    </row>
    <row r="6" customFormat="false" ht="15" hidden="false" customHeight="false" outlineLevel="0" collapsed="false">
      <c r="A6" s="4" t="s">
        <v>24</v>
      </c>
      <c r="B6" s="4" t="s">
        <v>21</v>
      </c>
      <c r="C6" s="5" t="n">
        <v>0</v>
      </c>
      <c r="D6" s="5" t="n">
        <v>607</v>
      </c>
      <c r="E6" s="5" t="n">
        <v>403</v>
      </c>
      <c r="F6" s="5" t="n">
        <v>0</v>
      </c>
      <c r="G6" s="5" t="n">
        <v>0</v>
      </c>
      <c r="H6" s="5" t="n">
        <v>1010</v>
      </c>
      <c r="I6" s="6" t="n">
        <f aca="false">SUM(C6:G6)</f>
        <v>1010</v>
      </c>
      <c r="J6" s="6" t="n">
        <f aca="false">H6-I6</f>
        <v>0</v>
      </c>
      <c r="K6" s="5" t="n">
        <v>98618</v>
      </c>
      <c r="L6" s="4" t="s">
        <v>19</v>
      </c>
    </row>
    <row r="7" customFormat="false" ht="15" hidden="false" customHeight="false" outlineLevel="0" collapsed="false">
      <c r="A7" s="4" t="s">
        <v>25</v>
      </c>
      <c r="B7" s="4" t="s">
        <v>21</v>
      </c>
      <c r="C7" s="5" t="n">
        <v>10672</v>
      </c>
      <c r="D7" s="5" t="n">
        <v>519</v>
      </c>
      <c r="E7" s="5" t="n">
        <v>339</v>
      </c>
      <c r="F7" s="5" t="n">
        <v>0</v>
      </c>
      <c r="G7" s="5" t="n">
        <v>0</v>
      </c>
      <c r="H7" s="5" t="n">
        <v>11530</v>
      </c>
      <c r="I7" s="6" t="n">
        <f aca="false">SUM(C7:G7)</f>
        <v>11530</v>
      </c>
      <c r="J7" s="6" t="n">
        <f aca="false">H7-I7</f>
        <v>0</v>
      </c>
      <c r="K7" s="5" t="n">
        <v>11469</v>
      </c>
      <c r="L7" s="4" t="s">
        <v>19</v>
      </c>
    </row>
    <row r="8" customFormat="false" ht="15" hidden="false" customHeight="false" outlineLevel="0" collapsed="false">
      <c r="A8" s="4" t="s">
        <v>26</v>
      </c>
      <c r="B8" s="4" t="s">
        <v>21</v>
      </c>
      <c r="C8" s="5" t="n">
        <v>17980</v>
      </c>
      <c r="D8" s="5" t="n">
        <v>244</v>
      </c>
      <c r="E8" s="5" t="n">
        <v>243</v>
      </c>
      <c r="F8" s="5" t="n">
        <v>0</v>
      </c>
      <c r="G8" s="5" t="n">
        <v>0</v>
      </c>
      <c r="H8" s="5" t="n">
        <v>18467</v>
      </c>
      <c r="I8" s="6" t="n">
        <f aca="false">SUM(C8:G8)</f>
        <v>18467</v>
      </c>
      <c r="J8" s="6" t="n">
        <f aca="false">H8-I8</f>
        <v>0</v>
      </c>
      <c r="K8" s="5" t="n">
        <v>18612</v>
      </c>
      <c r="L8" s="4" t="s">
        <v>19</v>
      </c>
    </row>
    <row r="9" customFormat="false" ht="15" hidden="false" customHeight="false" outlineLevel="0" collapsed="false">
      <c r="A9" s="4" t="s">
        <v>27</v>
      </c>
      <c r="B9" s="4" t="s">
        <v>21</v>
      </c>
      <c r="C9" s="5" t="n">
        <v>10340</v>
      </c>
      <c r="D9" s="5" t="n">
        <v>138</v>
      </c>
      <c r="E9" s="5" t="n">
        <v>289</v>
      </c>
      <c r="F9" s="5" t="n">
        <v>0</v>
      </c>
      <c r="G9" s="5" t="n">
        <v>0</v>
      </c>
      <c r="H9" s="5" t="n">
        <v>10767</v>
      </c>
      <c r="I9" s="6" t="n">
        <f aca="false">SUM(C9:G9)</f>
        <v>10767</v>
      </c>
      <c r="J9" s="6" t="n">
        <f aca="false">H9-I9</f>
        <v>0</v>
      </c>
      <c r="K9" s="5" t="n">
        <v>8138</v>
      </c>
      <c r="L9" s="4" t="s">
        <v>19</v>
      </c>
    </row>
    <row r="10" customFormat="false" ht="15" hidden="false" customHeight="false" outlineLevel="0" collapsed="false">
      <c r="A10" s="4" t="s">
        <v>28</v>
      </c>
      <c r="B10" s="4" t="s">
        <v>21</v>
      </c>
      <c r="C10" s="5" t="n">
        <v>17777</v>
      </c>
      <c r="D10" s="5" t="n">
        <v>170</v>
      </c>
      <c r="E10" s="5" t="n">
        <v>95</v>
      </c>
      <c r="F10" s="5" t="n">
        <v>0</v>
      </c>
      <c r="G10" s="5" t="n">
        <v>0</v>
      </c>
      <c r="H10" s="5" t="n">
        <v>18042</v>
      </c>
      <c r="I10" s="6" t="n">
        <f aca="false">SUM(C10:G10)</f>
        <v>18042</v>
      </c>
      <c r="J10" s="6" t="n">
        <f aca="false">H10-I10</f>
        <v>0</v>
      </c>
      <c r="K10" s="5" t="n">
        <v>17024</v>
      </c>
      <c r="L10" s="4" t="s">
        <v>19</v>
      </c>
    </row>
    <row r="11" customFormat="false" ht="15" hidden="false" customHeight="false" outlineLevel="0" collapsed="false">
      <c r="A11" s="4" t="s">
        <v>29</v>
      </c>
      <c r="B11" s="4" t="s">
        <v>21</v>
      </c>
      <c r="C11" s="5" t="n">
        <v>6262</v>
      </c>
      <c r="D11" s="5" t="n">
        <v>175</v>
      </c>
      <c r="E11" s="5" t="n">
        <v>118</v>
      </c>
      <c r="F11" s="5" t="n">
        <v>0</v>
      </c>
      <c r="G11" s="5" t="n">
        <v>0</v>
      </c>
      <c r="H11" s="5" t="n">
        <v>6555</v>
      </c>
      <c r="I11" s="6" t="n">
        <f aca="false">SUM(C11:G11)</f>
        <v>6555</v>
      </c>
      <c r="J11" s="6" t="n">
        <f aca="false">H11-I11</f>
        <v>0</v>
      </c>
      <c r="K11" s="5" t="n">
        <v>4896</v>
      </c>
      <c r="L11" s="4" t="s">
        <v>19</v>
      </c>
    </row>
    <row r="12" customFormat="false" ht="15" hidden="false" customHeight="false" outlineLevel="0" collapsed="false">
      <c r="A12" s="4" t="s">
        <v>30</v>
      </c>
      <c r="B12" s="4" t="s">
        <v>21</v>
      </c>
      <c r="C12" s="5" t="n">
        <v>42141</v>
      </c>
      <c r="D12" s="5" t="n">
        <v>248</v>
      </c>
      <c r="E12" s="5" t="n">
        <v>367</v>
      </c>
      <c r="F12" s="5" t="n">
        <v>0</v>
      </c>
      <c r="G12" s="5" t="n">
        <v>0</v>
      </c>
      <c r="H12" s="5" t="n">
        <v>42756</v>
      </c>
      <c r="I12" s="6" t="n">
        <f aca="false">SUM(C12:G12)</f>
        <v>42756</v>
      </c>
      <c r="J12" s="6" t="n">
        <f aca="false">H12-I12</f>
        <v>0</v>
      </c>
      <c r="K12" s="5" t="n">
        <v>38147</v>
      </c>
      <c r="L12" s="4" t="s">
        <v>19</v>
      </c>
    </row>
    <row r="13" customFormat="false" ht="15" hidden="false" customHeight="false" outlineLevel="0" collapsed="false">
      <c r="A13" s="4" t="s">
        <v>31</v>
      </c>
      <c r="B13" s="4" t="s">
        <v>21</v>
      </c>
      <c r="C13" s="5" t="n">
        <v>1348</v>
      </c>
      <c r="D13" s="5" t="n">
        <v>319</v>
      </c>
      <c r="E13" s="5" t="n">
        <v>79</v>
      </c>
      <c r="F13" s="5" t="n">
        <v>0</v>
      </c>
      <c r="G13" s="5" t="n">
        <v>0</v>
      </c>
      <c r="H13" s="5" t="n">
        <v>1746</v>
      </c>
      <c r="I13" s="6" t="n">
        <f aca="false">SUM(C13:G13)</f>
        <v>1746</v>
      </c>
      <c r="J13" s="6" t="n">
        <f aca="false">H13-I13</f>
        <v>0</v>
      </c>
      <c r="K13" s="5" t="n">
        <v>4598</v>
      </c>
      <c r="L13" s="4" t="s">
        <v>19</v>
      </c>
    </row>
    <row r="14" customFormat="false" ht="15" hidden="false" customHeight="false" outlineLevel="0" collapsed="false">
      <c r="A14" s="4" t="s">
        <v>32</v>
      </c>
      <c r="B14" s="4" t="s">
        <v>33</v>
      </c>
      <c r="C14" s="5" t="n">
        <v>14406</v>
      </c>
      <c r="D14" s="5" t="n">
        <v>0</v>
      </c>
      <c r="E14" s="5" t="n">
        <v>57</v>
      </c>
      <c r="F14" s="5" t="n">
        <v>0</v>
      </c>
      <c r="G14" s="5" t="n">
        <v>0</v>
      </c>
      <c r="H14" s="5" t="n">
        <v>14463</v>
      </c>
      <c r="I14" s="6" t="n">
        <f aca="false">SUM(C14:G14)</f>
        <v>14463</v>
      </c>
      <c r="J14" s="6" t="n">
        <f aca="false">H14-I14</f>
        <v>0</v>
      </c>
      <c r="K14" s="5" t="n">
        <v>14465</v>
      </c>
      <c r="L14" s="4" t="s">
        <v>19</v>
      </c>
    </row>
    <row r="15" customFormat="false" ht="15" hidden="false" customHeight="false" outlineLevel="0" collapsed="false">
      <c r="A15" s="4" t="s">
        <v>34</v>
      </c>
      <c r="B15" s="4" t="s">
        <v>33</v>
      </c>
      <c r="C15" s="5" t="n">
        <v>50591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50591</v>
      </c>
      <c r="I15" s="6" t="n">
        <f aca="false">SUM(C15:G15)</f>
        <v>50591</v>
      </c>
      <c r="J15" s="6" t="n">
        <f aca="false">H15-I15</f>
        <v>0</v>
      </c>
      <c r="K15" s="5" t="n">
        <v>51724</v>
      </c>
      <c r="L15" s="4" t="s">
        <v>19</v>
      </c>
    </row>
    <row r="16" customFormat="false" ht="15" hidden="false" customHeight="false" outlineLevel="0" collapsed="false">
      <c r="A16" s="4" t="s">
        <v>35</v>
      </c>
      <c r="B16" s="4" t="s">
        <v>21</v>
      </c>
      <c r="C16" s="5" t="n">
        <v>13485</v>
      </c>
      <c r="D16" s="5" t="n">
        <v>308</v>
      </c>
      <c r="E16" s="5" t="n">
        <v>0</v>
      </c>
      <c r="F16" s="5" t="n">
        <v>0</v>
      </c>
      <c r="G16" s="5" t="n">
        <v>0</v>
      </c>
      <c r="H16" s="5" t="n">
        <v>13793</v>
      </c>
      <c r="I16" s="6" t="n">
        <f aca="false">SUM(C16:G16)</f>
        <v>13793</v>
      </c>
      <c r="J16" s="6" t="n">
        <f aca="false">H16-I16</f>
        <v>0</v>
      </c>
      <c r="K16" s="5" t="n">
        <v>14966</v>
      </c>
      <c r="L16" s="4" t="s">
        <v>19</v>
      </c>
    </row>
    <row r="17" customFormat="false" ht="15" hidden="false" customHeight="false" outlineLevel="0" collapsed="false">
      <c r="A17" s="4" t="s">
        <v>36</v>
      </c>
      <c r="B17" s="4" t="s">
        <v>21</v>
      </c>
      <c r="C17" s="5" t="n">
        <v>0</v>
      </c>
      <c r="D17" s="5" t="n">
        <v>47</v>
      </c>
      <c r="E17" s="5" t="n">
        <v>264</v>
      </c>
      <c r="F17" s="5" t="n">
        <v>0</v>
      </c>
      <c r="G17" s="5" t="n">
        <v>0</v>
      </c>
      <c r="H17" s="5" t="n">
        <v>311</v>
      </c>
      <c r="I17" s="6" t="n">
        <f aca="false">SUM(C17:G17)</f>
        <v>311</v>
      </c>
      <c r="J17" s="6" t="n">
        <f aca="false">H17-I17</f>
        <v>0</v>
      </c>
      <c r="K17" s="5" t="n">
        <v>396</v>
      </c>
      <c r="L17" s="4" t="s">
        <v>19</v>
      </c>
    </row>
    <row r="18" customFormat="false" ht="15" hidden="false" customHeight="false" outlineLevel="0" collapsed="false">
      <c r="A18" s="4" t="s">
        <v>37</v>
      </c>
      <c r="B18" s="4" t="s">
        <v>33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6" t="n">
        <f aca="false">SUM(C18:G18)</f>
        <v>0</v>
      </c>
      <c r="J18" s="6" t="n">
        <f aca="false">H18-I18</f>
        <v>0</v>
      </c>
      <c r="K18" s="5" t="n">
        <v>18711</v>
      </c>
      <c r="L18" s="4" t="s">
        <v>19</v>
      </c>
    </row>
    <row r="19" customFormat="false" ht="15" hidden="false" customHeight="false" outlineLevel="0" collapsed="false">
      <c r="A19" s="4" t="s">
        <v>38</v>
      </c>
      <c r="B19" s="4" t="s">
        <v>33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6" t="n">
        <f aca="false">SUM(C19:G19)</f>
        <v>0</v>
      </c>
      <c r="J19" s="6" t="n">
        <f aca="false">H19-I19</f>
        <v>0</v>
      </c>
      <c r="K19" s="5" t="n">
        <v>30634</v>
      </c>
      <c r="L19" s="4" t="s">
        <v>19</v>
      </c>
    </row>
    <row r="20" customFormat="false" ht="15" hidden="false" customHeight="false" outlineLevel="0" collapsed="false">
      <c r="A20" s="4" t="s">
        <v>39</v>
      </c>
      <c r="B20" s="4" t="s">
        <v>33</v>
      </c>
      <c r="C20" s="5" t="n">
        <v>58915</v>
      </c>
      <c r="D20" s="5" t="n">
        <v>1422</v>
      </c>
      <c r="E20" s="5" t="n">
        <v>1054</v>
      </c>
      <c r="F20" s="5" t="n">
        <v>0</v>
      </c>
      <c r="G20" s="5" t="n">
        <v>0</v>
      </c>
      <c r="H20" s="5" t="n">
        <v>61391</v>
      </c>
      <c r="I20" s="6" t="n">
        <f aca="false">SUM(C20:G20)</f>
        <v>61391</v>
      </c>
      <c r="J20" s="6" t="n">
        <f aca="false">H20-I20</f>
        <v>0</v>
      </c>
      <c r="K20" s="5" t="n">
        <v>26830</v>
      </c>
      <c r="L20" s="4" t="s">
        <v>19</v>
      </c>
    </row>
    <row r="21" customFormat="false" ht="15" hidden="false" customHeight="false" outlineLevel="0" collapsed="false">
      <c r="A21" s="4" t="s">
        <v>40</v>
      </c>
      <c r="B21" s="4" t="s">
        <v>21</v>
      </c>
      <c r="C21" s="5" t="n">
        <v>4504</v>
      </c>
      <c r="D21" s="5" t="n">
        <v>77</v>
      </c>
      <c r="E21" s="5" t="n">
        <v>311</v>
      </c>
      <c r="F21" s="5" t="n">
        <v>0</v>
      </c>
      <c r="G21" s="5" t="n">
        <v>0</v>
      </c>
      <c r="H21" s="5" t="n">
        <v>4892</v>
      </c>
      <c r="I21" s="6" t="n">
        <f aca="false">SUM(C21:G21)</f>
        <v>4892</v>
      </c>
      <c r="J21" s="6" t="n">
        <f aca="false">H21-I21</f>
        <v>0</v>
      </c>
      <c r="K21" s="5" t="n">
        <v>7342</v>
      </c>
      <c r="L21" s="4" t="s">
        <v>19</v>
      </c>
    </row>
    <row r="22" customFormat="false" ht="15" hidden="false" customHeight="false" outlineLevel="0" collapsed="false">
      <c r="A22" s="4" t="s">
        <v>41</v>
      </c>
      <c r="B22" s="4" t="s">
        <v>21</v>
      </c>
      <c r="C22" s="5" t="n">
        <v>10972</v>
      </c>
      <c r="D22" s="5" t="n">
        <v>155</v>
      </c>
      <c r="E22" s="5" t="n">
        <v>166</v>
      </c>
      <c r="F22" s="5" t="n">
        <v>0</v>
      </c>
      <c r="G22" s="5" t="n">
        <v>0</v>
      </c>
      <c r="H22" s="5" t="n">
        <v>11293</v>
      </c>
      <c r="I22" s="6" t="n">
        <f aca="false">SUM(C22:G22)</f>
        <v>11293</v>
      </c>
      <c r="J22" s="6" t="n">
        <f aca="false">H22-I22</f>
        <v>0</v>
      </c>
      <c r="K22" s="5" t="n">
        <v>8672</v>
      </c>
      <c r="L22" s="4" t="s">
        <v>19</v>
      </c>
    </row>
    <row r="23" customFormat="false" ht="15" hidden="false" customHeight="false" outlineLevel="0" collapsed="false">
      <c r="A23" s="4" t="s">
        <v>42</v>
      </c>
      <c r="B23" s="4" t="s">
        <v>21</v>
      </c>
      <c r="C23" s="5" t="n">
        <v>17318</v>
      </c>
      <c r="D23" s="5" t="n">
        <v>253</v>
      </c>
      <c r="E23" s="5" t="n">
        <v>82</v>
      </c>
      <c r="F23" s="5" t="n">
        <v>0</v>
      </c>
      <c r="G23" s="5" t="n">
        <v>0</v>
      </c>
      <c r="H23" s="5" t="n">
        <v>17653</v>
      </c>
      <c r="I23" s="6" t="n">
        <f aca="false">SUM(C23:G23)</f>
        <v>17653</v>
      </c>
      <c r="J23" s="6" t="n">
        <f aca="false">H23-I23</f>
        <v>0</v>
      </c>
      <c r="K23" s="5" t="n">
        <v>24166</v>
      </c>
      <c r="L23" s="4" t="s">
        <v>19</v>
      </c>
    </row>
    <row r="24" customFormat="false" ht="41.75" hidden="false" customHeight="false" outlineLevel="0" collapsed="false">
      <c r="A24" s="4" t="s">
        <v>43</v>
      </c>
      <c r="B24" s="4" t="s">
        <v>44</v>
      </c>
      <c r="C24" s="5" t="n">
        <v>-172812</v>
      </c>
      <c r="D24" s="5" t="n">
        <v>0</v>
      </c>
      <c r="E24" s="5" t="n">
        <v>0</v>
      </c>
      <c r="F24" s="5" t="n">
        <v>0</v>
      </c>
      <c r="G24" s="5" t="n">
        <v>-58837</v>
      </c>
      <c r="H24" s="5" t="n">
        <v>-231649</v>
      </c>
      <c r="I24" s="6" t="n">
        <f aca="false">SUM(C24:G24)</f>
        <v>-231649</v>
      </c>
      <c r="J24" s="6" t="n">
        <f aca="false">H24-I24</f>
        <v>0</v>
      </c>
      <c r="K24" s="5" t="n">
        <v>-340025</v>
      </c>
      <c r="L24" s="4" t="s">
        <v>19</v>
      </c>
    </row>
    <row r="25" customFormat="false" ht="15" hidden="false" customHeight="false" outlineLevel="0" collapsed="false">
      <c r="A25" s="4" t="s">
        <v>45</v>
      </c>
      <c r="B25" s="4" t="s">
        <v>46</v>
      </c>
      <c r="C25" s="5" t="n">
        <v>0</v>
      </c>
      <c r="D25" s="5" t="n">
        <v>0</v>
      </c>
      <c r="E25" s="5" t="n">
        <v>0</v>
      </c>
      <c r="F25" s="5" t="n">
        <v>89985</v>
      </c>
      <c r="G25" s="5" t="n">
        <v>0</v>
      </c>
      <c r="H25" s="5" t="n">
        <v>89985</v>
      </c>
      <c r="I25" s="6" t="n">
        <f aca="false">SUM(C25:G25)</f>
        <v>89985</v>
      </c>
      <c r="J25" s="6" t="n">
        <f aca="false">H25-I25</f>
        <v>0</v>
      </c>
      <c r="K25" s="5" t="n">
        <v>113727</v>
      </c>
      <c r="L25" s="4" t="s">
        <v>19</v>
      </c>
    </row>
    <row r="26" customFormat="false" ht="15" hidden="false" customHeight="false" outlineLevel="0" collapsed="false">
      <c r="A26" s="4" t="s">
        <v>47</v>
      </c>
      <c r="B26" s="4" t="s">
        <v>48</v>
      </c>
      <c r="C26" s="5" t="n">
        <v>0</v>
      </c>
      <c r="D26" s="5" t="n">
        <v>0</v>
      </c>
      <c r="E26" s="5" t="n">
        <v>0</v>
      </c>
      <c r="F26" s="5" t="n">
        <v>569911</v>
      </c>
      <c r="G26" s="5" t="n">
        <v>0</v>
      </c>
      <c r="H26" s="5" t="n">
        <v>569911</v>
      </c>
      <c r="I26" s="6" t="n">
        <f aca="false">SUM(C26:G26)</f>
        <v>569911</v>
      </c>
      <c r="J26" s="6" t="n">
        <f aca="false">H26-I26</f>
        <v>0</v>
      </c>
      <c r="K26" s="5" t="n">
        <v>331770</v>
      </c>
      <c r="L26" s="4" t="s">
        <v>19</v>
      </c>
    </row>
    <row r="27" customFormat="false" ht="15" hidden="false" customHeight="false" outlineLevel="0" collapsed="false">
      <c r="A27" s="4" t="s">
        <v>49</v>
      </c>
      <c r="B27" s="4" t="s">
        <v>50</v>
      </c>
      <c r="C27" s="5" t="n">
        <v>0</v>
      </c>
      <c r="D27" s="5" t="n">
        <v>0</v>
      </c>
      <c r="E27" s="5" t="n">
        <v>0</v>
      </c>
      <c r="F27" s="5" t="n">
        <v>11548</v>
      </c>
      <c r="G27" s="5" t="n">
        <v>0</v>
      </c>
      <c r="H27" s="5" t="n">
        <v>11548</v>
      </c>
      <c r="I27" s="6" t="n">
        <f aca="false">SUM(C27:G27)</f>
        <v>11548</v>
      </c>
      <c r="J27" s="6" t="n">
        <f aca="false">H27-I27</f>
        <v>0</v>
      </c>
      <c r="K27" s="5" t="n">
        <v>15120</v>
      </c>
      <c r="L27" s="4" t="s">
        <v>19</v>
      </c>
    </row>
    <row r="28" customFormat="false" ht="15" hidden="false" customHeight="false" outlineLevel="0" collapsed="false">
      <c r="A28" s="4" t="s">
        <v>51</v>
      </c>
      <c r="B28" s="4" t="s">
        <v>50</v>
      </c>
      <c r="C28" s="5" t="n">
        <v>0</v>
      </c>
      <c r="D28" s="5" t="n">
        <v>0</v>
      </c>
      <c r="E28" s="5" t="n">
        <v>0</v>
      </c>
      <c r="F28" s="5" t="n">
        <v>137481</v>
      </c>
      <c r="G28" s="5" t="n">
        <v>0</v>
      </c>
      <c r="H28" s="5" t="n">
        <v>137481</v>
      </c>
      <c r="I28" s="6" t="n">
        <f aca="false">SUM(C28:G28)</f>
        <v>137481</v>
      </c>
      <c r="J28" s="6" t="n">
        <f aca="false">H28-I28</f>
        <v>0</v>
      </c>
      <c r="K28" s="5" t="n">
        <v>25378</v>
      </c>
      <c r="L28" s="4" t="s">
        <v>19</v>
      </c>
    </row>
    <row r="29" customFormat="false" ht="15" hidden="false" customHeight="false" outlineLevel="0" collapsed="false">
      <c r="A29" s="4" t="s">
        <v>52</v>
      </c>
      <c r="B29" s="4"/>
      <c r="C29" s="5" t="n">
        <v>-289532</v>
      </c>
      <c r="D29" s="5" t="n">
        <v>5767</v>
      </c>
      <c r="E29" s="5" t="n">
        <v>5851</v>
      </c>
      <c r="F29" s="5" t="n">
        <v>808925</v>
      </c>
      <c r="G29" s="5" t="n">
        <v>-58837</v>
      </c>
      <c r="H29" s="5" t="n">
        <v>472174</v>
      </c>
      <c r="I29" s="6" t="n">
        <f aca="false">SUM(C29:G29)</f>
        <v>472174</v>
      </c>
      <c r="J29" s="6" t="n">
        <f aca="false">H29-I29</f>
        <v>0</v>
      </c>
      <c r="K29" s="5" t="n">
        <v>104421</v>
      </c>
      <c r="L29" s="4" t="s">
        <v>19</v>
      </c>
    </row>
    <row r="30" customFormat="false" ht="28.35" hidden="false" customHeight="false" outlineLevel="0" collapsed="false">
      <c r="A30" s="4" t="s">
        <v>53</v>
      </c>
      <c r="B30" s="4"/>
      <c r="C30" s="6" t="n">
        <f aca="false">SUM(C2:C28)</f>
        <v>-289532</v>
      </c>
      <c r="D30" s="6" t="n">
        <f aca="false">SUM(D2:D28)</f>
        <v>5767</v>
      </c>
      <c r="E30" s="6" t="n">
        <f aca="false">SUM(E2:E28)</f>
        <v>5851</v>
      </c>
      <c r="F30" s="6" t="n">
        <f aca="false">SUM(F2:F28)</f>
        <v>808925</v>
      </c>
      <c r="G30" s="6" t="n">
        <f aca="false">SUM(G2:G28)</f>
        <v>-58837</v>
      </c>
      <c r="H30" s="6" t="n">
        <f aca="false">SUM(H2:H28)</f>
        <v>472174</v>
      </c>
      <c r="I30" s="6"/>
      <c r="J30" s="6"/>
      <c r="K30" s="6" t="n">
        <f aca="false">SUM(K2:K28)</f>
        <v>104421</v>
      </c>
    </row>
    <row r="31" customFormat="false" ht="15" hidden="false" customHeight="false" outlineLevel="0" collapsed="false">
      <c r="A31" s="4" t="s">
        <v>54</v>
      </c>
      <c r="B31" s="4"/>
      <c r="C31" s="6" t="n">
        <f aca="false">C30-C29</f>
        <v>0</v>
      </c>
      <c r="D31" s="6" t="n">
        <f aca="false">D30-D29</f>
        <v>0</v>
      </c>
      <c r="E31" s="6" t="n">
        <f aca="false">E30-E29</f>
        <v>0</v>
      </c>
      <c r="F31" s="6" t="n">
        <f aca="false">F30-F29</f>
        <v>0</v>
      </c>
      <c r="G31" s="6" t="n">
        <f aca="false">G30-G29</f>
        <v>0</v>
      </c>
      <c r="H31" s="6" t="n">
        <f aca="false">H30-H29</f>
        <v>0</v>
      </c>
      <c r="I31" s="6"/>
      <c r="J31" s="6"/>
      <c r="K31" s="6" t="n">
        <f aca="false">K30-K29</f>
        <v>0</v>
      </c>
    </row>
    <row r="33" customFormat="false" ht="28.35" hidden="false" customHeight="false" outlineLevel="0" collapsed="false">
      <c r="A33" s="4" t="s">
        <v>55</v>
      </c>
      <c r="B33" s="4"/>
      <c r="C33" s="4"/>
      <c r="D33" s="4"/>
      <c r="E33" s="4"/>
      <c r="F33" s="4"/>
      <c r="G33" s="4"/>
      <c r="H33" s="6" t="n">
        <f aca="false">SUMPRODUCT((LEFT(B2:B28,9)="Controlad")*(ISNUMBER(SEARCH("JV",B2:B28)))*(H2:H28&gt;0)*H2:H28)</f>
        <v>126445</v>
      </c>
    </row>
    <row r="34" customFormat="false" ht="41.75" hidden="false" customHeight="false" outlineLevel="0" collapsed="false">
      <c r="A34" s="4" t="s">
        <v>56</v>
      </c>
      <c r="B34" s="4"/>
      <c r="C34" s="4"/>
      <c r="D34" s="4"/>
      <c r="E34" s="4"/>
      <c r="F34" s="4"/>
      <c r="G34" s="4"/>
      <c r="H34" s="5" t="n">
        <v>126579</v>
      </c>
    </row>
    <row r="35" customFormat="false" ht="55.2" hidden="false" customHeight="false" outlineLevel="0" collapsed="false">
      <c r="A35" s="4" t="s">
        <v>57</v>
      </c>
      <c r="B35" s="4"/>
      <c r="C35" s="4"/>
      <c r="D35" s="4"/>
      <c r="E35" s="4"/>
      <c r="F35" s="4"/>
      <c r="G35" s="4"/>
      <c r="H35" s="6" t="n">
        <f aca="false">H34-H33</f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12"/>
    <col collapsed="false" customWidth="true" hidden="false" outlineLevel="0" max="6" min="6" style="0" width="10"/>
    <col collapsed="false" customWidth="true" hidden="false" outlineLevel="0" max="8" min="7" style="0" width="14"/>
    <col collapsed="false" customWidth="true" hidden="false" outlineLevel="0" max="9" min="9" style="0" width="8"/>
    <col collapsed="false" customWidth="true" hidden="false" outlineLevel="0" max="11" min="10" style="0" width="12"/>
  </cols>
  <sheetData>
    <row r="1" customFormat="false" ht="28.35" hidden="false" customHeight="false" outlineLevel="0" collapsed="false">
      <c r="A1" s="3" t="s">
        <v>5</v>
      </c>
      <c r="B1" s="3" t="s">
        <v>58</v>
      </c>
      <c r="C1" s="3" t="s">
        <v>8</v>
      </c>
      <c r="D1" s="3" t="s">
        <v>9</v>
      </c>
      <c r="E1" s="3" t="s">
        <v>59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60</v>
      </c>
      <c r="K1" s="3" t="s">
        <v>16</v>
      </c>
    </row>
    <row r="2" customFormat="false" ht="15" hidden="false" customHeight="false" outlineLevel="0" collapsed="false">
      <c r="A2" s="4" t="s">
        <v>61</v>
      </c>
      <c r="B2" s="5" t="n">
        <v>-17537</v>
      </c>
      <c r="C2" s="5" t="n">
        <v>0</v>
      </c>
      <c r="D2" s="5" t="n">
        <v>0</v>
      </c>
      <c r="E2" s="5" t="n">
        <v>0</v>
      </c>
      <c r="F2" s="5" t="n">
        <v>0</v>
      </c>
      <c r="G2" s="5" t="n">
        <v>-17537</v>
      </c>
      <c r="H2" s="6" t="n">
        <f aca="false">SUM(B2:F2)</f>
        <v>-17537</v>
      </c>
      <c r="I2" s="6" t="n">
        <f aca="false">G2-H2</f>
        <v>0</v>
      </c>
      <c r="J2" s="5" t="n">
        <v>-17077</v>
      </c>
      <c r="K2" s="4" t="s">
        <v>62</v>
      </c>
    </row>
    <row r="3" customFormat="false" ht="15" hidden="false" customHeight="false" outlineLevel="0" collapsed="false">
      <c r="A3" s="4" t="s">
        <v>17</v>
      </c>
      <c r="B3" s="5" t="n">
        <v>0</v>
      </c>
      <c r="C3" s="5" t="n">
        <v>50</v>
      </c>
      <c r="D3" s="5" t="n">
        <v>492</v>
      </c>
      <c r="E3" s="5" t="n">
        <v>0</v>
      </c>
      <c r="F3" s="5" t="n">
        <v>0</v>
      </c>
      <c r="G3" s="5" t="n">
        <v>542</v>
      </c>
      <c r="H3" s="6" t="n">
        <f aca="false">SUM(B3:F3)</f>
        <v>542</v>
      </c>
      <c r="I3" s="6" t="n">
        <f aca="false">G3-H3</f>
        <v>0</v>
      </c>
      <c r="J3" s="5" t="n">
        <v>566</v>
      </c>
      <c r="K3" s="4" t="s">
        <v>62</v>
      </c>
    </row>
    <row r="4" customFormat="false" ht="15" hidden="false" customHeight="false" outlineLevel="0" collapsed="false">
      <c r="A4" s="4" t="s">
        <v>20</v>
      </c>
      <c r="B4" s="5" t="n">
        <v>0</v>
      </c>
      <c r="C4" s="5" t="n">
        <v>1387</v>
      </c>
      <c r="D4" s="5" t="n">
        <v>9825</v>
      </c>
      <c r="E4" s="5" t="n">
        <v>0</v>
      </c>
      <c r="F4" s="5" t="n">
        <v>0</v>
      </c>
      <c r="G4" s="5" t="n">
        <v>11212</v>
      </c>
      <c r="H4" s="6" t="n">
        <f aca="false">SUM(B4:F4)</f>
        <v>11212</v>
      </c>
      <c r="I4" s="6" t="n">
        <f aca="false">G4-H4</f>
        <v>0</v>
      </c>
      <c r="J4" s="5" t="n">
        <v>8595</v>
      </c>
      <c r="K4" s="4" t="s">
        <v>62</v>
      </c>
    </row>
    <row r="5" customFormat="false" ht="15" hidden="false" customHeight="false" outlineLevel="0" collapsed="false">
      <c r="A5" s="4" t="s">
        <v>22</v>
      </c>
      <c r="B5" s="5" t="n">
        <v>0</v>
      </c>
      <c r="C5" s="5" t="n">
        <v>165</v>
      </c>
      <c r="D5" s="5" t="n">
        <v>169</v>
      </c>
      <c r="E5" s="5" t="n">
        <v>0</v>
      </c>
      <c r="F5" s="5" t="n">
        <v>0</v>
      </c>
      <c r="G5" s="5" t="n">
        <v>334</v>
      </c>
      <c r="H5" s="6" t="n">
        <f aca="false">SUM(B5:F5)</f>
        <v>334</v>
      </c>
      <c r="I5" s="6" t="n">
        <f aca="false">G5-H5</f>
        <v>0</v>
      </c>
      <c r="J5" s="5" t="n">
        <v>302</v>
      </c>
      <c r="K5" s="4" t="s">
        <v>62</v>
      </c>
    </row>
    <row r="6" customFormat="false" ht="15" hidden="false" customHeight="false" outlineLevel="0" collapsed="false">
      <c r="A6" s="4" t="s">
        <v>23</v>
      </c>
      <c r="B6" s="5" t="n">
        <v>0</v>
      </c>
      <c r="C6" s="5" t="n">
        <v>505</v>
      </c>
      <c r="D6" s="5" t="n">
        <v>1542</v>
      </c>
      <c r="E6" s="5" t="n">
        <v>0</v>
      </c>
      <c r="F6" s="5" t="n">
        <v>0</v>
      </c>
      <c r="G6" s="5" t="n">
        <v>2047</v>
      </c>
      <c r="H6" s="6" t="n">
        <f aca="false">SUM(B6:F6)</f>
        <v>2047</v>
      </c>
      <c r="I6" s="6" t="n">
        <f aca="false">G6-H6</f>
        <v>0</v>
      </c>
      <c r="J6" s="5" t="n">
        <v>2193</v>
      </c>
      <c r="K6" s="4" t="s">
        <v>62</v>
      </c>
    </row>
    <row r="7" customFormat="false" ht="15" hidden="false" customHeight="false" outlineLevel="0" collapsed="false">
      <c r="A7" s="4" t="s">
        <v>24</v>
      </c>
      <c r="B7" s="5" t="n">
        <v>0</v>
      </c>
      <c r="C7" s="5" t="n">
        <v>1403</v>
      </c>
      <c r="D7" s="5" t="n">
        <v>6104</v>
      </c>
      <c r="E7" s="5" t="n">
        <v>0</v>
      </c>
      <c r="F7" s="5" t="n">
        <v>0</v>
      </c>
      <c r="G7" s="5" t="n">
        <v>7507</v>
      </c>
      <c r="H7" s="6" t="n">
        <f aca="false">SUM(B7:F7)</f>
        <v>7507</v>
      </c>
      <c r="I7" s="6" t="n">
        <f aca="false">G7-H7</f>
        <v>0</v>
      </c>
      <c r="J7" s="5" t="n">
        <v>7447</v>
      </c>
      <c r="K7" s="4" t="s">
        <v>62</v>
      </c>
    </row>
    <row r="8" customFormat="false" ht="15" hidden="false" customHeight="false" outlineLevel="0" collapsed="false">
      <c r="A8" s="4" t="s">
        <v>25</v>
      </c>
      <c r="B8" s="5" t="n">
        <v>0</v>
      </c>
      <c r="C8" s="5" t="n">
        <v>1205</v>
      </c>
      <c r="D8" s="5" t="n">
        <v>3503</v>
      </c>
      <c r="E8" s="5" t="n">
        <v>0</v>
      </c>
      <c r="F8" s="5" t="n">
        <v>0</v>
      </c>
      <c r="G8" s="5" t="n">
        <v>4708</v>
      </c>
      <c r="H8" s="6" t="n">
        <f aca="false">SUM(B8:F8)</f>
        <v>4708</v>
      </c>
      <c r="I8" s="6" t="n">
        <f aca="false">G8-H8</f>
        <v>0</v>
      </c>
      <c r="J8" s="5" t="n">
        <v>4437</v>
      </c>
      <c r="K8" s="4" t="s">
        <v>62</v>
      </c>
    </row>
    <row r="9" customFormat="false" ht="15" hidden="false" customHeight="false" outlineLevel="0" collapsed="false">
      <c r="A9" s="4" t="s">
        <v>26</v>
      </c>
      <c r="B9" s="5" t="n">
        <v>0</v>
      </c>
      <c r="C9" s="5" t="n">
        <v>737</v>
      </c>
      <c r="D9" s="5" t="n">
        <v>2913</v>
      </c>
      <c r="E9" s="5" t="n">
        <v>0</v>
      </c>
      <c r="F9" s="5" t="n">
        <v>0</v>
      </c>
      <c r="G9" s="5" t="n">
        <v>3650</v>
      </c>
      <c r="H9" s="6" t="n">
        <f aca="false">SUM(B9:F9)</f>
        <v>3650</v>
      </c>
      <c r="I9" s="6" t="n">
        <f aca="false">G9-H9</f>
        <v>0</v>
      </c>
      <c r="J9" s="5" t="n">
        <v>3468</v>
      </c>
      <c r="K9" s="4" t="s">
        <v>62</v>
      </c>
    </row>
    <row r="10" customFormat="false" ht="15" hidden="false" customHeight="false" outlineLevel="0" collapsed="false">
      <c r="A10" s="4" t="s">
        <v>27</v>
      </c>
      <c r="B10" s="5" t="n">
        <v>0</v>
      </c>
      <c r="C10" s="5" t="n">
        <v>415</v>
      </c>
      <c r="D10" s="5" t="n">
        <v>2793</v>
      </c>
      <c r="E10" s="5" t="n">
        <v>0</v>
      </c>
      <c r="F10" s="5" t="n">
        <v>0</v>
      </c>
      <c r="G10" s="5" t="n">
        <v>3208</v>
      </c>
      <c r="H10" s="6" t="n">
        <f aca="false">SUM(B10:F10)</f>
        <v>3208</v>
      </c>
      <c r="I10" s="6" t="n">
        <f aca="false">G10-H10</f>
        <v>0</v>
      </c>
      <c r="J10" s="5" t="n">
        <v>3510</v>
      </c>
      <c r="K10" s="4" t="s">
        <v>62</v>
      </c>
    </row>
    <row r="11" customFormat="false" ht="15" hidden="false" customHeight="false" outlineLevel="0" collapsed="false">
      <c r="A11" s="4" t="s">
        <v>28</v>
      </c>
      <c r="B11" s="5" t="n">
        <v>0</v>
      </c>
      <c r="C11" s="5" t="n">
        <v>513</v>
      </c>
      <c r="D11" s="5" t="n">
        <v>1105</v>
      </c>
      <c r="E11" s="5" t="n">
        <v>0</v>
      </c>
      <c r="F11" s="5" t="n">
        <v>0</v>
      </c>
      <c r="G11" s="5" t="n">
        <v>1618</v>
      </c>
      <c r="H11" s="6" t="n">
        <f aca="false">SUM(B11:F11)</f>
        <v>1618</v>
      </c>
      <c r="I11" s="6" t="n">
        <f aca="false">G11-H11</f>
        <v>0</v>
      </c>
      <c r="J11" s="5" t="n">
        <v>1862</v>
      </c>
      <c r="K11" s="4" t="s">
        <v>62</v>
      </c>
    </row>
    <row r="12" customFormat="false" ht="15" hidden="false" customHeight="false" outlineLevel="0" collapsed="false">
      <c r="A12" s="4" t="s">
        <v>63</v>
      </c>
      <c r="B12" s="5" t="n">
        <v>0</v>
      </c>
      <c r="C12" s="5" t="n">
        <v>371</v>
      </c>
      <c r="D12" s="5" t="n">
        <v>1405</v>
      </c>
      <c r="E12" s="5" t="n">
        <v>0</v>
      </c>
      <c r="F12" s="5" t="n">
        <v>0</v>
      </c>
      <c r="G12" s="5" t="n">
        <v>1776</v>
      </c>
      <c r="H12" s="6" t="n">
        <f aca="false">SUM(B12:F12)</f>
        <v>1776</v>
      </c>
      <c r="I12" s="6" t="n">
        <f aca="false">G12-H12</f>
        <v>0</v>
      </c>
      <c r="J12" s="5" t="n">
        <v>1828</v>
      </c>
      <c r="K12" s="4" t="s">
        <v>62</v>
      </c>
    </row>
    <row r="13" customFormat="false" ht="15" hidden="false" customHeight="false" outlineLevel="0" collapsed="false">
      <c r="A13" s="4" t="s">
        <v>30</v>
      </c>
      <c r="B13" s="5" t="n">
        <v>0</v>
      </c>
      <c r="C13" s="5" t="n">
        <v>750</v>
      </c>
      <c r="D13" s="5" t="n">
        <v>4741</v>
      </c>
      <c r="E13" s="5" t="n">
        <v>0</v>
      </c>
      <c r="F13" s="5" t="n">
        <v>0</v>
      </c>
      <c r="G13" s="5" t="n">
        <v>5491</v>
      </c>
      <c r="H13" s="6" t="n">
        <f aca="false">SUM(B13:F13)</f>
        <v>5491</v>
      </c>
      <c r="I13" s="6" t="n">
        <f aca="false">G13-H13</f>
        <v>0</v>
      </c>
      <c r="J13" s="5" t="n">
        <v>5283</v>
      </c>
      <c r="K13" s="4" t="s">
        <v>62</v>
      </c>
    </row>
    <row r="14" customFormat="false" ht="15" hidden="false" customHeight="false" outlineLevel="0" collapsed="false">
      <c r="A14" s="4" t="s">
        <v>31</v>
      </c>
      <c r="B14" s="5" t="n">
        <v>0</v>
      </c>
      <c r="C14" s="5" t="n">
        <v>696</v>
      </c>
      <c r="D14" s="5" t="n">
        <v>6733</v>
      </c>
      <c r="E14" s="5" t="n">
        <v>0</v>
      </c>
      <c r="F14" s="5" t="n">
        <v>0</v>
      </c>
      <c r="G14" s="5" t="n">
        <v>7429</v>
      </c>
      <c r="H14" s="6" t="n">
        <f aca="false">SUM(B14:F14)</f>
        <v>7429</v>
      </c>
      <c r="I14" s="6" t="n">
        <f aca="false">G14-H14</f>
        <v>0</v>
      </c>
      <c r="J14" s="5" t="n">
        <v>7345</v>
      </c>
      <c r="K14" s="4" t="s">
        <v>62</v>
      </c>
    </row>
    <row r="15" customFormat="false" ht="15" hidden="false" customHeight="false" outlineLevel="0" collapsed="false">
      <c r="A15" s="4" t="s">
        <v>34</v>
      </c>
      <c r="B15" s="5" t="n">
        <v>0</v>
      </c>
      <c r="C15" s="5" t="n">
        <v>0</v>
      </c>
      <c r="D15" s="5" t="n">
        <v>685</v>
      </c>
      <c r="E15" s="5" t="n">
        <v>0</v>
      </c>
      <c r="F15" s="5" t="n">
        <v>0</v>
      </c>
      <c r="G15" s="5" t="n">
        <v>685</v>
      </c>
      <c r="H15" s="6" t="n">
        <f aca="false">SUM(B15:F15)</f>
        <v>685</v>
      </c>
      <c r="I15" s="6" t="n">
        <f aca="false">G15-H15</f>
        <v>0</v>
      </c>
      <c r="J15" s="5" t="n">
        <v>0</v>
      </c>
      <c r="K15" s="4" t="s">
        <v>62</v>
      </c>
    </row>
    <row r="16" customFormat="false" ht="15" hidden="false" customHeight="false" outlineLevel="0" collapsed="false">
      <c r="A16" s="4" t="s">
        <v>32</v>
      </c>
      <c r="B16" s="5" t="n">
        <v>0</v>
      </c>
      <c r="C16" s="5" t="n">
        <v>0</v>
      </c>
      <c r="D16" s="5" t="n">
        <v>360</v>
      </c>
      <c r="E16" s="5" t="n">
        <v>0</v>
      </c>
      <c r="F16" s="5" t="n">
        <v>0</v>
      </c>
      <c r="G16" s="5" t="n">
        <v>360</v>
      </c>
      <c r="H16" s="6" t="n">
        <f aca="false">SUM(B16:F16)</f>
        <v>360</v>
      </c>
      <c r="I16" s="6" t="n">
        <f aca="false">G16-H16</f>
        <v>0</v>
      </c>
      <c r="J16" s="5" t="n">
        <v>653</v>
      </c>
      <c r="K16" s="4" t="s">
        <v>62</v>
      </c>
    </row>
    <row r="17" customFormat="false" ht="15" hidden="false" customHeight="false" outlineLevel="0" collapsed="false">
      <c r="A17" s="4" t="s">
        <v>35</v>
      </c>
      <c r="B17" s="5" t="n">
        <v>0</v>
      </c>
      <c r="C17" s="5" t="n">
        <v>932</v>
      </c>
      <c r="D17" s="5" t="n">
        <v>2668</v>
      </c>
      <c r="E17" s="5" t="n">
        <v>0</v>
      </c>
      <c r="F17" s="5" t="n">
        <v>0</v>
      </c>
      <c r="G17" s="5" t="n">
        <v>3600</v>
      </c>
      <c r="H17" s="6" t="n">
        <f aca="false">SUM(B17:F17)</f>
        <v>3600</v>
      </c>
      <c r="I17" s="6" t="n">
        <f aca="false">G17-H17</f>
        <v>0</v>
      </c>
      <c r="J17" s="5" t="n">
        <v>3234</v>
      </c>
      <c r="K17" s="4" t="s">
        <v>62</v>
      </c>
    </row>
    <row r="18" customFormat="false" ht="15" hidden="false" customHeight="false" outlineLevel="0" collapsed="false">
      <c r="A18" s="4" t="s">
        <v>64</v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6" t="n">
        <f aca="false">SUM(B18:F18)</f>
        <v>0</v>
      </c>
      <c r="I18" s="6" t="n">
        <f aca="false">G18-H18</f>
        <v>0</v>
      </c>
      <c r="J18" s="5" t="n">
        <v>184</v>
      </c>
      <c r="K18" s="4" t="s">
        <v>62</v>
      </c>
    </row>
    <row r="19" customFormat="false" ht="15" hidden="false" customHeight="false" outlineLevel="0" collapsed="false">
      <c r="A19" s="4" t="s">
        <v>36</v>
      </c>
      <c r="B19" s="5" t="n">
        <v>0</v>
      </c>
      <c r="C19" s="5" t="n">
        <v>128</v>
      </c>
      <c r="D19" s="5" t="n">
        <v>3320</v>
      </c>
      <c r="E19" s="5" t="n">
        <v>0</v>
      </c>
      <c r="F19" s="5" t="n">
        <v>0</v>
      </c>
      <c r="G19" s="5" t="n">
        <v>3448</v>
      </c>
      <c r="H19" s="6" t="n">
        <f aca="false">SUM(B19:F19)</f>
        <v>3448</v>
      </c>
      <c r="I19" s="6" t="n">
        <f aca="false">G19-H19</f>
        <v>0</v>
      </c>
      <c r="J19" s="5" t="n">
        <v>3360</v>
      </c>
      <c r="K19" s="4" t="s">
        <v>62</v>
      </c>
    </row>
    <row r="20" customFormat="false" ht="15" hidden="false" customHeight="false" outlineLevel="0" collapsed="false">
      <c r="A20" s="4" t="s">
        <v>37</v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6" t="n">
        <f aca="false">SUM(B20:F20)</f>
        <v>0</v>
      </c>
      <c r="I20" s="6" t="n">
        <f aca="false">G20-H20</f>
        <v>0</v>
      </c>
      <c r="J20" s="5" t="n">
        <v>211</v>
      </c>
      <c r="K20" s="4" t="s">
        <v>62</v>
      </c>
    </row>
    <row r="21" customFormat="false" ht="15" hidden="false" customHeight="false" outlineLevel="0" collapsed="false">
      <c r="A21" s="4" t="s">
        <v>38</v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6" t="n">
        <f aca="false">SUM(B21:F21)</f>
        <v>0</v>
      </c>
      <c r="I21" s="6" t="n">
        <f aca="false">G21-H21</f>
        <v>0</v>
      </c>
      <c r="J21" s="5" t="n">
        <v>92</v>
      </c>
      <c r="K21" s="4" t="s">
        <v>62</v>
      </c>
    </row>
    <row r="22" customFormat="false" ht="15" hidden="false" customHeight="false" outlineLevel="0" collapsed="false">
      <c r="A22" s="4" t="s">
        <v>39</v>
      </c>
      <c r="B22" s="5" t="n">
        <v>0</v>
      </c>
      <c r="C22" s="5" t="n">
        <v>4158</v>
      </c>
      <c r="D22" s="5" t="n">
        <v>11720</v>
      </c>
      <c r="E22" s="5" t="n">
        <v>0</v>
      </c>
      <c r="F22" s="5" t="n">
        <v>0</v>
      </c>
      <c r="G22" s="5" t="n">
        <v>15878</v>
      </c>
      <c r="H22" s="6" t="n">
        <f aca="false">SUM(B22:F22)</f>
        <v>15878</v>
      </c>
      <c r="I22" s="6" t="n">
        <f aca="false">G22-H22</f>
        <v>0</v>
      </c>
      <c r="J22" s="5" t="n">
        <v>15007</v>
      </c>
      <c r="K22" s="4" t="s">
        <v>62</v>
      </c>
    </row>
    <row r="23" customFormat="false" ht="15" hidden="false" customHeight="false" outlineLevel="0" collapsed="false">
      <c r="A23" s="4" t="s">
        <v>40</v>
      </c>
      <c r="B23" s="5" t="n">
        <v>0</v>
      </c>
      <c r="C23" s="5" t="n">
        <v>208</v>
      </c>
      <c r="D23" s="5" t="n">
        <v>772</v>
      </c>
      <c r="E23" s="5" t="n">
        <v>0</v>
      </c>
      <c r="F23" s="5" t="n">
        <v>0</v>
      </c>
      <c r="G23" s="5" t="n">
        <v>980</v>
      </c>
      <c r="H23" s="6" t="n">
        <f aca="false">SUM(B23:F23)</f>
        <v>980</v>
      </c>
      <c r="I23" s="6" t="n">
        <f aca="false">G23-H23</f>
        <v>0</v>
      </c>
      <c r="J23" s="5" t="n">
        <v>914</v>
      </c>
      <c r="K23" s="4" t="s">
        <v>62</v>
      </c>
    </row>
    <row r="24" customFormat="false" ht="15" hidden="false" customHeight="false" outlineLevel="0" collapsed="false">
      <c r="A24" s="4" t="s">
        <v>41</v>
      </c>
      <c r="B24" s="5" t="n">
        <v>0</v>
      </c>
      <c r="C24" s="5" t="n">
        <v>326</v>
      </c>
      <c r="D24" s="5" t="n">
        <v>843</v>
      </c>
      <c r="E24" s="5" t="n">
        <v>0</v>
      </c>
      <c r="F24" s="5" t="n">
        <v>0</v>
      </c>
      <c r="G24" s="5" t="n">
        <v>1169</v>
      </c>
      <c r="H24" s="6" t="n">
        <f aca="false">SUM(B24:F24)</f>
        <v>1169</v>
      </c>
      <c r="I24" s="6" t="n">
        <f aca="false">G24-H24</f>
        <v>0</v>
      </c>
      <c r="J24" s="5" t="n">
        <v>1206</v>
      </c>
      <c r="K24" s="4" t="s">
        <v>62</v>
      </c>
    </row>
    <row r="25" customFormat="false" ht="15" hidden="false" customHeight="false" outlineLevel="0" collapsed="false">
      <c r="A25" s="4" t="s">
        <v>42</v>
      </c>
      <c r="B25" s="5" t="n">
        <v>0</v>
      </c>
      <c r="C25" s="5" t="n">
        <v>743</v>
      </c>
      <c r="D25" s="5" t="n">
        <v>2108</v>
      </c>
      <c r="E25" s="5" t="n">
        <v>0</v>
      </c>
      <c r="F25" s="5" t="n">
        <v>0</v>
      </c>
      <c r="G25" s="5" t="n">
        <v>2851</v>
      </c>
      <c r="H25" s="6" t="n">
        <f aca="false">SUM(B25:F25)</f>
        <v>2851</v>
      </c>
      <c r="I25" s="6" t="n">
        <f aca="false">G25-H25</f>
        <v>0</v>
      </c>
      <c r="J25" s="5" t="n">
        <v>2340</v>
      </c>
      <c r="K25" s="4" t="s">
        <v>62</v>
      </c>
    </row>
    <row r="26" customFormat="false" ht="15" hidden="false" customHeight="false" outlineLevel="0" collapsed="false">
      <c r="A26" s="4" t="s">
        <v>65</v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-695</v>
      </c>
      <c r="G26" s="5" t="n">
        <v>-695</v>
      </c>
      <c r="H26" s="6" t="n">
        <f aca="false">SUM(B26:F26)</f>
        <v>-695</v>
      </c>
      <c r="I26" s="6" t="n">
        <f aca="false">G26-H26</f>
        <v>0</v>
      </c>
      <c r="J26" s="5" t="n">
        <v>-1596</v>
      </c>
      <c r="K26" s="4" t="s">
        <v>62</v>
      </c>
    </row>
    <row r="27" customFormat="false" ht="15" hidden="false" customHeight="false" outlineLevel="0" collapsed="false">
      <c r="A27" s="4" t="s">
        <v>45</v>
      </c>
      <c r="B27" s="5" t="n">
        <v>0</v>
      </c>
      <c r="C27" s="5" t="n">
        <v>0</v>
      </c>
      <c r="D27" s="5" t="n">
        <v>0</v>
      </c>
      <c r="E27" s="5" t="n">
        <v>52713</v>
      </c>
      <c r="F27" s="5" t="n">
        <v>0</v>
      </c>
      <c r="G27" s="5" t="n">
        <v>52713</v>
      </c>
      <c r="H27" s="6" t="n">
        <f aca="false">SUM(B27:F27)</f>
        <v>52713</v>
      </c>
      <c r="I27" s="6" t="n">
        <f aca="false">G27-H27</f>
        <v>0</v>
      </c>
      <c r="J27" s="5" t="n">
        <v>63073</v>
      </c>
      <c r="K27" s="4" t="s">
        <v>62</v>
      </c>
    </row>
    <row r="28" customFormat="false" ht="15" hidden="false" customHeight="false" outlineLevel="0" collapsed="false">
      <c r="A28" s="4" t="s">
        <v>47</v>
      </c>
      <c r="B28" s="5" t="n">
        <v>0</v>
      </c>
      <c r="C28" s="5" t="n">
        <v>0</v>
      </c>
      <c r="D28" s="5" t="n">
        <v>0</v>
      </c>
      <c r="E28" s="5" t="n">
        <v>96981</v>
      </c>
      <c r="F28" s="5" t="n">
        <v>0</v>
      </c>
      <c r="G28" s="5" t="n">
        <v>96981</v>
      </c>
      <c r="H28" s="6" t="n">
        <f aca="false">SUM(B28:F28)</f>
        <v>96981</v>
      </c>
      <c r="I28" s="6" t="n">
        <f aca="false">G28-H28</f>
        <v>0</v>
      </c>
      <c r="J28" s="5" t="n">
        <v>101138</v>
      </c>
      <c r="K28" s="4" t="s">
        <v>62</v>
      </c>
    </row>
    <row r="29" customFormat="false" ht="15" hidden="false" customHeight="false" outlineLevel="0" collapsed="false">
      <c r="A29" s="4" t="s">
        <v>49</v>
      </c>
      <c r="B29" s="5" t="n">
        <v>0</v>
      </c>
      <c r="C29" s="5" t="n">
        <v>0</v>
      </c>
      <c r="D29" s="5" t="n">
        <v>0</v>
      </c>
      <c r="E29" s="5" t="n">
        <v>27892</v>
      </c>
      <c r="F29" s="5" t="n">
        <v>0</v>
      </c>
      <c r="G29" s="5" t="n">
        <v>27892</v>
      </c>
      <c r="H29" s="6" t="n">
        <f aca="false">SUM(B29:F29)</f>
        <v>27892</v>
      </c>
      <c r="I29" s="6" t="n">
        <f aca="false">G29-H29</f>
        <v>0</v>
      </c>
      <c r="J29" s="5" t="n">
        <v>41234</v>
      </c>
      <c r="K29" s="4" t="s">
        <v>62</v>
      </c>
    </row>
    <row r="30" customFormat="false" ht="15" hidden="false" customHeight="false" outlineLevel="0" collapsed="false">
      <c r="A30" s="4" t="s">
        <v>51</v>
      </c>
      <c r="B30" s="5" t="n">
        <v>0</v>
      </c>
      <c r="C30" s="5" t="n">
        <v>0</v>
      </c>
      <c r="D30" s="5" t="n">
        <v>0</v>
      </c>
      <c r="E30" s="5" t="n">
        <v>38848</v>
      </c>
      <c r="F30" s="5" t="n">
        <v>0</v>
      </c>
      <c r="G30" s="5" t="n">
        <v>38848</v>
      </c>
      <c r="H30" s="6" t="n">
        <f aca="false">SUM(B30:F30)</f>
        <v>38848</v>
      </c>
      <c r="I30" s="6" t="n">
        <f aca="false">G30-H30</f>
        <v>0</v>
      </c>
      <c r="J30" s="5" t="n">
        <v>12912</v>
      </c>
      <c r="K30" s="4" t="s">
        <v>62</v>
      </c>
    </row>
    <row r="31" customFormat="false" ht="15" hidden="false" customHeight="false" outlineLevel="0" collapsed="false">
      <c r="A31" s="4" t="s">
        <v>52</v>
      </c>
      <c r="B31" s="5" t="n">
        <v>-17537</v>
      </c>
      <c r="C31" s="5" t="n">
        <v>14692</v>
      </c>
      <c r="D31" s="5" t="n">
        <v>63801</v>
      </c>
      <c r="E31" s="5" t="n">
        <v>216434</v>
      </c>
      <c r="F31" s="5" t="n">
        <v>-695</v>
      </c>
      <c r="G31" s="5" t="n">
        <v>276695</v>
      </c>
      <c r="H31" s="6" t="n">
        <f aca="false">SUM(B31:F31)</f>
        <v>276695</v>
      </c>
      <c r="I31" s="6" t="n">
        <f aca="false">G31-H31</f>
        <v>0</v>
      </c>
      <c r="J31" s="5" t="n">
        <v>273721</v>
      </c>
      <c r="K31" s="4" t="s">
        <v>62</v>
      </c>
    </row>
    <row r="32" customFormat="false" ht="28.35" hidden="false" customHeight="false" outlineLevel="0" collapsed="false">
      <c r="A32" s="4" t="s">
        <v>66</v>
      </c>
      <c r="B32" s="4"/>
      <c r="C32" s="4"/>
      <c r="D32" s="4"/>
      <c r="E32" s="4"/>
      <c r="F32" s="4"/>
      <c r="G32" s="6" t="n">
        <f aca="false">SUM(G2:G30)-G31</f>
        <v>0</v>
      </c>
      <c r="H32" s="4"/>
      <c r="I32" s="4"/>
      <c r="J32" s="6" t="n">
        <f aca="false">SUM(J2:J30)-J31</f>
        <v>0</v>
      </c>
    </row>
    <row r="33" customFormat="false" ht="28.35" hidden="false" customHeight="false" outlineLevel="0" collapsed="false">
      <c r="A33" s="4" t="s">
        <v>67</v>
      </c>
      <c r="B33" s="4"/>
      <c r="C33" s="4"/>
      <c r="D33" s="4"/>
      <c r="E33" s="4"/>
      <c r="F33" s="4"/>
      <c r="G33" s="6" t="n">
        <f aca="false">-17537-B2</f>
        <v>0</v>
      </c>
      <c r="H33" s="4"/>
      <c r="I33" s="4"/>
      <c r="J33" s="4"/>
      <c r="K33" s="4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60"/>
    <col collapsed="false" customWidth="true" hidden="false" outlineLevel="0" max="7" min="7" style="0" width="22"/>
  </cols>
  <sheetData>
    <row r="1" customFormat="false" ht="28.35" hidden="false" customHeight="false" outlineLevel="0" collapsed="false">
      <c r="A1" s="3" t="s">
        <v>69</v>
      </c>
      <c r="B1" s="3" t="s">
        <v>70</v>
      </c>
      <c r="C1" s="3" t="s">
        <v>71</v>
      </c>
      <c r="D1" s="3" t="s">
        <v>72</v>
      </c>
      <c r="E1" s="3" t="s">
        <v>73</v>
      </c>
      <c r="F1" s="3" t="s">
        <v>74</v>
      </c>
      <c r="G1" s="3" t="s">
        <v>16</v>
      </c>
    </row>
    <row r="2" customFormat="false" ht="28.35" hidden="false" customHeight="false" outlineLevel="0" collapsed="false">
      <c r="A2" s="4" t="s">
        <v>75</v>
      </c>
      <c r="B2" s="4" t="s">
        <v>76</v>
      </c>
      <c r="C2" s="5" t="n">
        <v>61152</v>
      </c>
      <c r="D2" s="5" t="n">
        <v>58837</v>
      </c>
      <c r="E2" s="6" t="n">
        <f aca="false">C2-D2</f>
        <v>2315</v>
      </c>
      <c r="F2" s="4" t="s">
        <v>77</v>
      </c>
      <c r="G2" s="4" t="s">
        <v>78</v>
      </c>
    </row>
    <row r="3" customFormat="false" ht="28.35" hidden="false" customHeight="false" outlineLevel="0" collapsed="false">
      <c r="A3" s="4" t="s">
        <v>79</v>
      </c>
      <c r="B3" s="4" t="s">
        <v>80</v>
      </c>
      <c r="C3" s="5" t="n">
        <v>172812</v>
      </c>
      <c r="D3" s="5" t="n">
        <v>172812</v>
      </c>
      <c r="E3" s="6" t="n">
        <f aca="false">C3-D3</f>
        <v>0</v>
      </c>
      <c r="F3" s="4" t="s">
        <v>81</v>
      </c>
      <c r="G3" s="4" t="s">
        <v>82</v>
      </c>
    </row>
    <row r="4" customFormat="false" ht="28.35" hidden="false" customHeight="false" outlineLevel="0" collapsed="false">
      <c r="A4" s="4" t="s">
        <v>83</v>
      </c>
      <c r="B4" s="4" t="s">
        <v>84</v>
      </c>
      <c r="C4" s="5" t="n">
        <v>14406</v>
      </c>
      <c r="D4" s="5" t="n">
        <v>14406</v>
      </c>
      <c r="E4" s="6" t="n">
        <f aca="false">C4-D4</f>
        <v>0</v>
      </c>
      <c r="F4" s="4" t="s">
        <v>81</v>
      </c>
      <c r="G4" s="4" t="s">
        <v>85</v>
      </c>
    </row>
    <row r="5" customFormat="false" ht="28.35" hidden="false" customHeight="false" outlineLevel="0" collapsed="false">
      <c r="A5" s="4" t="s">
        <v>86</v>
      </c>
      <c r="B5" s="4" t="s">
        <v>84</v>
      </c>
      <c r="C5" s="5" t="n">
        <v>50591</v>
      </c>
      <c r="D5" s="5" t="n">
        <v>50591</v>
      </c>
      <c r="E5" s="6" t="n">
        <f aca="false">C5-D5</f>
        <v>0</v>
      </c>
      <c r="F5" s="4" t="s">
        <v>81</v>
      </c>
      <c r="G5" s="4" t="s">
        <v>87</v>
      </c>
    </row>
    <row r="6" customFormat="false" ht="28.35" hidden="false" customHeight="false" outlineLevel="0" collapsed="false">
      <c r="A6" s="4" t="s">
        <v>88</v>
      </c>
      <c r="B6" s="4" t="s">
        <v>89</v>
      </c>
      <c r="C6" s="5" t="n">
        <v>421705</v>
      </c>
      <c r="D6" s="5" t="n">
        <v>421705</v>
      </c>
      <c r="E6" s="6" t="n">
        <f aca="false">C6-D6</f>
        <v>0</v>
      </c>
      <c r="F6" s="4" t="s">
        <v>81</v>
      </c>
      <c r="G6" s="4" t="s">
        <v>90</v>
      </c>
    </row>
    <row r="7" customFormat="false" ht="28.35" hidden="false" customHeight="false" outlineLevel="0" collapsed="false">
      <c r="A7" s="4" t="s">
        <v>91</v>
      </c>
      <c r="B7" s="4" t="s">
        <v>92</v>
      </c>
      <c r="C7" s="5" t="n">
        <v>1318</v>
      </c>
      <c r="D7" s="5" t="n">
        <v>2476</v>
      </c>
      <c r="E7" s="6" t="n">
        <f aca="false">C7-D7</f>
        <v>-1158</v>
      </c>
      <c r="F7" s="4" t="s">
        <v>93</v>
      </c>
      <c r="G7" s="4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26"/>
  </cols>
  <sheetData>
    <row r="1" customFormat="false" ht="28.35" hidden="false" customHeight="false" outlineLevel="0" collapsed="false">
      <c r="A1" s="3" t="s">
        <v>95</v>
      </c>
      <c r="B1" s="3" t="s">
        <v>96</v>
      </c>
      <c r="C1" s="3" t="s">
        <v>97</v>
      </c>
      <c r="D1" s="3" t="s">
        <v>98</v>
      </c>
      <c r="E1" s="3" t="s">
        <v>16</v>
      </c>
    </row>
    <row r="2" customFormat="false" ht="15" hidden="false" customHeight="false" outlineLevel="0" collapsed="false">
      <c r="A2" s="4" t="s">
        <v>99</v>
      </c>
      <c r="B2" s="7" t="n">
        <v>0.3582</v>
      </c>
      <c r="C2" s="7" t="n">
        <v>0.895</v>
      </c>
      <c r="D2" s="4" t="s">
        <v>100</v>
      </c>
      <c r="E2" s="4" t="s">
        <v>101</v>
      </c>
    </row>
    <row r="3" customFormat="false" ht="15" hidden="false" customHeight="false" outlineLevel="0" collapsed="false">
      <c r="A3" s="4" t="s">
        <v>102</v>
      </c>
      <c r="B3" s="7" t="n">
        <v>0.2163</v>
      </c>
      <c r="C3" s="7" t="n">
        <v>0.0973</v>
      </c>
      <c r="D3" s="4" t="s">
        <v>103</v>
      </c>
      <c r="E3" s="4" t="s">
        <v>101</v>
      </c>
    </row>
    <row r="4" customFormat="false" ht="15" hidden="false" customHeight="false" outlineLevel="0" collapsed="false">
      <c r="A4" s="4" t="s">
        <v>88</v>
      </c>
      <c r="B4" s="7" t="n">
        <v>0.33555</v>
      </c>
      <c r="C4" s="7" t="n">
        <v>0.96929</v>
      </c>
      <c r="D4" s="4" t="s">
        <v>104</v>
      </c>
      <c r="E4" s="4" t="s">
        <v>105</v>
      </c>
    </row>
    <row r="5" customFormat="false" ht="15" hidden="false" customHeight="false" outlineLevel="0" collapsed="false">
      <c r="A5" s="4" t="s">
        <v>106</v>
      </c>
      <c r="B5" s="7" t="n">
        <v>0.19376</v>
      </c>
      <c r="C5" s="7" t="n">
        <v>0.02242</v>
      </c>
      <c r="D5" s="4" t="s">
        <v>107</v>
      </c>
      <c r="E5" s="4" t="s">
        <v>105</v>
      </c>
    </row>
    <row r="6" customFormat="false" ht="41.75" hidden="false" customHeight="false" outlineLevel="0" collapsed="false">
      <c r="A6" s="4" t="s">
        <v>108</v>
      </c>
      <c r="B6" s="7"/>
      <c r="C6" s="7"/>
      <c r="D6" s="4" t="s">
        <v>109</v>
      </c>
      <c r="E6" s="4" t="s">
        <v>110</v>
      </c>
    </row>
    <row r="8" customFormat="false" ht="55.2" hidden="false" customHeight="false" outlineLevel="0" collapsed="false">
      <c r="A8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0"/>
    <col collapsed="false" customWidth="true" hidden="false" outlineLevel="0" max="3" min="3" style="0" width="70"/>
    <col collapsed="false" customWidth="true" hidden="false" outlineLevel="0" max="4" min="4" style="0" width="30"/>
  </cols>
  <sheetData>
    <row r="1" customFormat="false" ht="28.35" hidden="false" customHeight="false" outlineLevel="0" collapsed="false">
      <c r="A1" s="3" t="s">
        <v>112</v>
      </c>
      <c r="B1" s="3" t="s">
        <v>113</v>
      </c>
      <c r="C1" s="3" t="s">
        <v>114</v>
      </c>
      <c r="D1" s="3" t="s">
        <v>16</v>
      </c>
    </row>
    <row r="2" customFormat="false" ht="15" hidden="false" customHeight="false" outlineLevel="0" collapsed="false">
      <c r="A2" s="4" t="s">
        <v>115</v>
      </c>
      <c r="B2" s="4" t="s">
        <v>116</v>
      </c>
      <c r="C2" s="4" t="s">
        <v>117</v>
      </c>
      <c r="D2" s="4" t="s">
        <v>118</v>
      </c>
    </row>
    <row r="3" customFormat="false" ht="55.2" hidden="false" customHeight="false" outlineLevel="0" collapsed="false">
      <c r="A3" s="4" t="s">
        <v>119</v>
      </c>
      <c r="B3" s="4" t="s">
        <v>116</v>
      </c>
      <c r="C3" s="4" t="s">
        <v>120</v>
      </c>
      <c r="D3" s="4" t="s">
        <v>121</v>
      </c>
    </row>
    <row r="4" customFormat="false" ht="28.35" hidden="false" customHeight="false" outlineLevel="0" collapsed="false">
      <c r="A4" s="4" t="s">
        <v>122</v>
      </c>
      <c r="B4" s="4" t="s">
        <v>116</v>
      </c>
      <c r="C4" s="4" t="s">
        <v>123</v>
      </c>
      <c r="D4" s="4" t="s">
        <v>62</v>
      </c>
    </row>
    <row r="5" customFormat="false" ht="28.35" hidden="false" customHeight="false" outlineLevel="0" collapsed="false">
      <c r="A5" s="4" t="s">
        <v>124</v>
      </c>
      <c r="B5" s="4" t="s">
        <v>125</v>
      </c>
      <c r="C5" s="4" t="s">
        <v>126</v>
      </c>
      <c r="D5" s="4" t="s">
        <v>127</v>
      </c>
    </row>
    <row r="6" customFormat="false" ht="28.35" hidden="false" customHeight="false" outlineLevel="0" collapsed="false">
      <c r="A6" s="4" t="s">
        <v>128</v>
      </c>
      <c r="B6" s="4" t="s">
        <v>129</v>
      </c>
      <c r="C6" s="4" t="s">
        <v>130</v>
      </c>
      <c r="D6" s="4" t="s">
        <v>131</v>
      </c>
    </row>
    <row r="7" customFormat="false" ht="15" hidden="false" customHeight="false" outlineLevel="0" collapsed="false">
      <c r="A7" s="4" t="s">
        <v>132</v>
      </c>
      <c r="B7" s="4" t="s">
        <v>133</v>
      </c>
      <c r="C7" s="4" t="s">
        <v>134</v>
      </c>
      <c r="D7" s="4" t="s">
        <v>131</v>
      </c>
    </row>
    <row r="8" customFormat="false" ht="28.35" hidden="false" customHeight="false" outlineLevel="0" collapsed="false">
      <c r="A8" s="4" t="s">
        <v>135</v>
      </c>
      <c r="B8" s="4" t="s">
        <v>129</v>
      </c>
      <c r="C8" s="4" t="s">
        <v>136</v>
      </c>
      <c r="D8" s="4" t="s">
        <v>137</v>
      </c>
    </row>
    <row r="9" customFormat="false" ht="28.35" hidden="false" customHeight="false" outlineLevel="0" collapsed="false">
      <c r="A9" s="4" t="s">
        <v>138</v>
      </c>
      <c r="B9" s="4" t="s">
        <v>116</v>
      </c>
      <c r="C9" s="4" t="s">
        <v>139</v>
      </c>
      <c r="D9" s="4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2026-10-21T08:33:22Z</dcterms:created>
  <dc:creator>openpyxl</dc:creator>
  <dc:description/>
  <dc:language>en-US</dc:language>
  <cp:lastModifiedBy/>
  <dcterms:modified xsi:type="dcterms:W3CDTF">2026-10-21T08:33:22Z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