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63a877d3d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" sheetId="1" r:id="R8bf9bf18f40d4087"/>
    <x:sheet xmlns:r="http://schemas.openxmlformats.org/officeDocument/2006/relationships" name="Dados_publicados" sheetId="2" r:id="R1799dac239ac4a32"/>
    <x:sheet xmlns:r="http://schemas.openxmlformats.org/officeDocument/2006/relationships" name="Prazo" sheetId="3" r:id="R6ed994c8ec4d4ef1"/>
    <x:sheet xmlns:r="http://schemas.openxmlformats.org/officeDocument/2006/relationships" name="Aprox_B_valor_presente" sheetId="4" r:id="R3791897259c74396"/>
    <x:sheet xmlns:r="http://schemas.openxmlformats.org/officeDocument/2006/relationships" name="Aprox_A_remuneracao" sheetId="5" r:id="Rd0b7049c9d3f440d"/>
    <x:sheet xmlns:r="http://schemas.openxmlformats.org/officeDocument/2006/relationships" name="Retrospectiva_e_vies" sheetId="6" r:id="R6afe3d91bad04ad9"/>
  </x:sheets>
</x:workbook>
</file>

<file path=xl/sharedStrings.xml><?xml version="1.0" encoding="utf-8"?>
<x:sst xmlns:x="http://schemas.openxmlformats.org/spreadsheetml/2006/main">
  <x:si>
    <x:t xml:space="preserve">PT 540 – Estimativa: mensuração do ativo contratual (taxa implícita, fluxos, RBSE) – APROXIMAÇÃO DIDÁTICA</x:t>
  </x:si>
  <x:si>
    <x:t xml:space="preserve">Estimativa PUBLICADA = valores do F0003 (36.273.035 mil; remuneração 2.949.237 mil). Os cálculos abaixo NÃO reproduzem o modelo da administração (fluxos por contrato e taxa por projeto não divulgados).</x:t>
  </x:si>
  <x:si>
    <x:t xml:space="preserve">A taxa regulatória (WACC ANEEL) NÃO é usada como taxa do modelo societário: as taxas implícitas são fixadas no início de cada projeto e variam de 4,2% a 9,9% a.a. (F0003 p.44–45, 100).</x:t>
  </x:si>
  <x:si>
    <x:t xml:space="preserve">Células amarelas = dados transcritos (fonte e página na coluna própria) ou premissas; demais = fórmulas.</x:t>
  </x:si>
  <x:si>
    <x:t xml:space="preserve">Preparado por: matrícula 241003689 (execução assistida por IA) em 21/10/2026. Revisão humana: ____________ (em branco).</x:t>
  </x:si>
  <x:si>
    <x:t xml:space="preserve">Dado</x:t>
  </x:si>
  <x:si>
    <x:t xml:space="preserve">Valor</x:t>
  </x:si>
  <x:si>
    <x:t xml:space="preserve">Unidade</x:t>
  </x:si>
  <x:si>
    <x:t xml:space="preserve">Fonte (página)</x:t>
  </x:si>
  <x:si>
    <x:t xml:space="preserve">Ativo contratual consolidado 31/12/2025 (SE fin. + SE econ. + implementação)</x:t>
  </x:si>
  <x:si>
    <x:t xml:space="preserve">R$ mil</x:t>
  </x:si>
  <x:si>
    <x:t xml:space="preserve">F0003 p.45</x:t>
  </x:si>
  <x:si>
    <x:t xml:space="preserve">Ativo contratual 31/12/2024</x:t>
  </x:si>
  <x:si>
    <x:t xml:space="preserve">SE – componente financeiro 2025 / 2024</x:t>
  </x:si>
  <x:si>
    <x:t xml:space="preserve">3112255 / 4990315</x:t>
  </x:si>
  <x:si>
    <x:t xml:space="preserve">SE – componente econômico 2025 / 2024</x:t>
  </x:si>
  <x:si>
    <x:t xml:space="preserve">3111847 / 3113419</x:t>
  </x:si>
  <x:si>
    <x:t xml:space="preserve">Remuneração dos ativos da concessão 2025</x:t>
  </x:si>
  <x:si>
    <x:t xml:space="preserve">F0003 p.47, 100</x:t>
  </x:si>
  <x:si>
    <x:t xml:space="preserve">REH 3.466/2025 – redução do ativo (componente financeiro RBSE)</x:t>
  </x:si>
  <x:si>
    <x:t xml:space="preserve">F0003 p.9, 38, 46</x:t>
  </x:si>
  <x:si>
    <x:t xml:space="preserve">Recebimentos totais 2025 (nota 5.5)</x:t>
  </x:si>
  <x:si>
    <x:t xml:space="preserve">F0003 p.47</x:t>
  </x:si>
  <x:si>
    <x:t xml:space="preserve">Recebimentos de O&amp;M derivados = 193.064 + 1.264.867 − 4.286 − 158.263</x:t>
  </x:si>
  <x:si>
    <x:t xml:space="preserve">F0003 p.45, 47 (fórmula)</x:t>
  </x:si>
  <x:si>
    <x:t xml:space="preserve">Recebimentos do ativo contratual = B8 − B9</x:t>
  </x:si>
  <x:si>
    <x:t xml:space="preserve">Derivado</x:t>
  </x:si>
  <x:si>
    <x:t xml:space="preserve">Taxa implícita – intervalo</x:t>
  </x:si>
  <x:si>
    <x:t xml:space="preserve">4,2% a 9,9% a.a.</x:t>
  </x:si>
  <x:si>
    <x:t xml:space="preserve">F0003 p.44, 100</x:t>
  </x:si>
  <x:si>
    <x:t xml:space="preserve">IPCA usado nas explicações da remuneração</x:t>
  </x:si>
  <x:si>
    <x:t xml:space="preserve">%</x:t>
  </x:si>
  <x:si>
    <x:t xml:space="preserve">IPCA ano civil 2025</x:t>
  </x:si>
  <x:si>
    <x:t xml:space="preserve">Fim do pagamento do RBSE (componente financeiro)</x:t>
  </x:si>
  <x:si>
    <x:t xml:space="preserve">ano</x:t>
  </x:si>
  <x:si>
    <x:t xml:space="preserve">F0003 p.37</x:t>
  </x:si>
  <x:si>
    <x:t xml:space="preserve">Concessão Paulista (059/2001) – vencimento</x:t>
  </x:si>
  <x:si>
    <x:t xml:space="preserve">31/12/2042</x:t>
  </x:si>
  <x:si>
    <x:t xml:space="preserve">F0003 p.36, 44</x:t>
  </x:si>
  <x:si>
    <x:t xml:space="preserve">Prazo remanescente médio ponderado pela RAP 25/26 (aba Prazo)</x:t>
  </x:si>
  <x:si>
    <x:t xml:space="preserve">anos</x:t>
  </x:si>
  <x:si>
    <x:t xml:space="preserve">F0003 p.36 (RAP e vencimentos)</x:t>
  </x:si>
  <x:si>
    <x:t xml:space="preserve">Contrato</x:t>
  </x:si>
  <x:si>
    <x:t xml:space="preserve">Entidade</x:t>
  </x:si>
  <x:si>
    <x:t xml:space="preserve">RAP 25/26 (R$ mil)</x:t>
  </x:si>
  <x:si>
    <x:t xml:space="preserve">Vencimento</x:t>
  </x:si>
  <x:si>
    <x:t xml:space="preserve">Anos a partir de 31/12/2025</x:t>
  </x:si>
  <x:si>
    <x:t xml:space="preserve">RAP × anos</x:t>
  </x:si>
  <x:si>
    <x:t xml:space="preserve">059/2001</x:t>
  </x:si>
  <x:si>
    <x:t xml:space="preserve">ISA Energia Brasil</x:t>
  </x:si>
  <x:si>
    <x:t xml:space="preserve">012/2016</x:t>
  </x:si>
  <x:si>
    <x:t xml:space="preserve">20/11/2046</x:t>
  </x:si>
  <x:si>
    <x:t xml:space="preserve">008/2022</x:t>
  </x:si>
  <x:si>
    <x:t xml:space="preserve">ISA Energia Brasil (Projeto Piraquê)</x:t>
  </x:si>
  <x:si>
    <x:t xml:space="preserve">30/09/2052</x:t>
  </x:si>
  <x:si>
    <x:t xml:space="preserve">006/2023</x:t>
  </x:si>
  <x:si>
    <x:t xml:space="preserve">ISA Energia Brasil (Projeto Serra Dourada)</x:t>
  </x:si>
  <x:si>
    <x:t xml:space="preserve">29/09/2053</x:t>
  </x:si>
  <x:si>
    <x:t xml:space="preserve">012/2023</x:t>
  </x:si>
  <x:si>
    <x:t xml:space="preserve">ISA Energia Brasil (Projeto Itatiaia)</x:t>
  </x:si>
  <x:si>
    <x:t xml:space="preserve">143/2001</x:t>
  </x:si>
  <x:si>
    <x:t xml:space="preserve">IE Jaguar 6</x:t>
  </x:si>
  <x:si>
    <x:t xml:space="preserve">20/12/2031</x:t>
  </x:si>
  <x:si>
    <x:t xml:space="preserve">004/2007</x:t>
  </x:si>
  <x:si>
    <x:t xml:space="preserve">IEMG</x:t>
  </x:si>
  <x:si>
    <x:t xml:space="preserve">23/04/2037</x:t>
  </x:si>
  <x:si>
    <x:t xml:space="preserve">001/2008</x:t>
  </x:si>
  <x:si>
    <x:t xml:space="preserve">IENNE</x:t>
  </x:si>
  <x:si>
    <x:t xml:space="preserve">16/03/2038</x:t>
  </x:si>
  <x:si>
    <x:t xml:space="preserve">012/2008</x:t>
  </x:si>
  <x:si>
    <x:t xml:space="preserve">IE Jaguar 8</x:t>
  </x:si>
  <x:si>
    <x:t xml:space="preserve">15/10/2038</x:t>
  </x:si>
  <x:si>
    <x:t xml:space="preserve">013/2008</x:t>
  </x:si>
  <x:si>
    <x:t xml:space="preserve">IESul</x:t>
  </x:si>
  <x:si>
    <x:t xml:space="preserve">015/2008</x:t>
  </x:si>
  <x:si>
    <x:t xml:space="preserve">IE Jaguar 9</x:t>
  </x:si>
  <x:si>
    <x:t xml:space="preserve">016/2008</x:t>
  </x:si>
  <x:si>
    <x:t xml:space="preserve">018/2008</x:t>
  </x:si>
  <x:si>
    <x:t xml:space="preserve">IE Pinheiros</x:t>
  </x:si>
  <x:si>
    <x:t xml:space="preserve">026/2009</x:t>
  </x:si>
  <x:si>
    <x:t xml:space="preserve">IE Serra do Japi</x:t>
  </x:si>
  <x:si>
    <x:t xml:space="preserve">18/11/2039</x:t>
  </x:si>
  <x:si>
    <x:t xml:space="preserve">021/2011</x:t>
  </x:si>
  <x:si>
    <x:t xml:space="preserve">IE Itapura</x:t>
  </x:si>
  <x:si>
    <x:t xml:space="preserve">09/12/2041</x:t>
  </x:si>
  <x:si>
    <x:t xml:space="preserve">018/2017</x:t>
  </x:si>
  <x:si>
    <x:t xml:space="preserve">IE Itaúnas</x:t>
  </x:si>
  <x:si>
    <x:t xml:space="preserve">10/02/2047</x:t>
  </x:si>
  <x:si>
    <x:t xml:space="preserve">026/2017</x:t>
  </x:si>
  <x:si>
    <x:t xml:space="preserve">IE Tibagi</x:t>
  </x:si>
  <x:si>
    <x:t xml:space="preserve">11/08/2047</x:t>
  </x:si>
  <x:si>
    <x:t xml:space="preserve">027/2017</x:t>
  </x:si>
  <x:si>
    <x:t xml:space="preserve">IE Itaquerê</x:t>
  </x:si>
  <x:si>
    <x:t xml:space="preserve">042/2017</x:t>
  </x:si>
  <x:si>
    <x:t xml:space="preserve">046/2017</x:t>
  </x:si>
  <x:si>
    <x:t xml:space="preserve">IE Aguapeí</x:t>
  </x:si>
  <x:si>
    <x:t xml:space="preserve">012/2018</x:t>
  </x:si>
  <x:si>
    <x:t xml:space="preserve">IE Biguaçu</x:t>
  </x:si>
  <x:si>
    <x:t xml:space="preserve">20/09/2048</x:t>
  </x:si>
  <x:si>
    <x:t xml:space="preserve">021/2018</x:t>
  </x:si>
  <x:si>
    <x:t xml:space="preserve">001/2020</x:t>
  </x:si>
  <x:si>
    <x:t xml:space="preserve">Evrecy (Projeto Minuano)</x:t>
  </x:si>
  <x:si>
    <x:t xml:space="preserve">20/03/2050</x:t>
  </x:si>
  <x:si>
    <x:t xml:space="preserve">006/2020</x:t>
  </x:si>
  <x:si>
    <x:t xml:space="preserve">007/2020</x:t>
  </x:si>
  <x:si>
    <x:t xml:space="preserve">IEMG (Projeto Triângulo Mineiro)</x:t>
  </x:si>
  <x:si>
    <x:t xml:space="preserve">005/2021</x:t>
  </x:si>
  <x:si>
    <x:t xml:space="preserve">IE Riacho Grande</x:t>
  </x:si>
  <x:si>
    <x:t xml:space="preserve">30/03/2051</x:t>
  </x:si>
  <x:si>
    <x:t xml:space="preserve">011/2022</x:t>
  </x:si>
  <x:si>
    <x:t xml:space="preserve">IE Jaguar 8 (Projeto Jacarandá)</x:t>
  </x:si>
  <x:si>
    <x:t xml:space="preserve">014/2023</x:t>
  </x:si>
  <x:si>
    <x:t xml:space="preserve">IE Tibagi (Projeto Água Vermelha)</x:t>
  </x:si>
  <x:si>
    <x:t xml:space="preserve">Total</x:t>
  </x:si>
  <x:si>
    <x:t xml:space="preserve">Prazo médio ponderado</x:t>
  </x:si>
  <x:si>
    <x:t xml:space="preserve">Nota: soma da RAP = 5.623.324 (REH 3.481, F0003 p.33); a RAP de 059/2001 (3.627.047) domina o prazo médio.</x:t>
  </x:si>
  <x:si>
    <x:t xml:space="preserve">Elemento</x:t>
  </x:si>
  <x:si>
    <x:t xml:space="preserve">Fórmula / natureza</x:t>
  </x:si>
  <x:si>
    <x:t xml:space="preserve">APROXIMAÇÃO: anuidade crescente única para todo o ativo contratual – NÃO é o modelo da administração</x:t>
  </x:si>
  <x:si>
    <x:t xml:space="preserve">Fluxos por contrato, indenizações e fim do RBSE em 2028 não modelados</x:t>
  </x:si>
  <x:si>
    <x:t xml:space="preserve">Fluxo anual R (recebimentos do ativo contratual 2025)</x:t>
  </x:si>
  <x:si>
    <x:t xml:space="preserve">Premissa: fluxo de 2025 representa o 1º ano</x:t>
  </x:si>
  <x:si>
    <x:t xml:space="preserve">Crescimento g (IPCA usado pela companhia)</x:t>
  </x:si>
  <x:si>
    <x:t xml:space="preserve">F0003 p.9</x:t>
  </x:si>
  <x:si>
    <x:t xml:space="preserve">Prazo n (anos)</x:t>
  </x:si>
  <x:si>
    <x:t xml:space="preserve">Ponderado pela RAP</x:t>
  </x:si>
  <x:si>
    <x:t xml:space="preserve">Taxa nominal i que iguala PV ao saldo publicado (resolvida no script por bisseção)</x:t>
  </x:si>
  <x:si>
    <x:t xml:space="preserve">Entrada calculada (scipy brentq); conferência na linha seguinte</x:t>
  </x:si>
  <x:si>
    <x:t xml:space="preserve">PV(i) = R × (1 − ((1+g)/(1+i))^n)/(i − g)</x:t>
  </x:si>
  <x:si>
    <x:t xml:space="preserve">Saldo publicado</x:t>
  </x:si>
  <x:si>
    <x:t xml:space="preserve">Conferência PV − publicado (≈ 0)</x:t>
  </x:si>
  <x:si>
    <x:t xml:space="preserve">Taxa real implícita = (1+i)/(1+g) − 1</x:t>
  </x:si>
  <x:si>
    <x:t xml:space="preserve">Comparar com 4,2%–9,9% (F0003 p.44): dentro do intervalo?</x:t>
  </x:si>
  <x:si>
    <x:t xml:space="preserve">Dentro do intervalo divulgado?</x:t>
  </x:si>
  <x:si>
    <x:t xml:space="preserve">Teste de razoabilidade da aproximação, não da estimativa</x:t>
  </x:si>
  <x:si>
    <x:t xml:space="preserve">CENÁRIOS (cada um altera UMA premissa; demais iguais à base)</x:t>
  </x:si>
  <x:si>
    <x:t xml:space="preserve">PV (R$ mil)</x:t>
  </x:si>
  <x:si>
    <x:t xml:space="preserve">Δ vs publicado (R$ mil)</x:t>
  </x:si>
  <x:si>
    <x:t xml:space="preserve">Δ / ME</x:t>
  </x:si>
  <x:si>
    <x:t xml:space="preserve">Ligação com dado publicado</x:t>
  </x:si>
  <x:si>
    <x:t xml:space="preserve">Taxa i + 0,5 p.p.</x:t>
  </x:si>
  <x:si>
    <x:t xml:space="preserve">Escolha alternativa de taxa no início dos projetos (taxa fixa depois; p.45)</x:t>
  </x:si>
  <x:si>
    <x:t xml:space="preserve">Taxa i − 0,5 p.p.</x:t>
  </x:si>
  <x:si>
    <x:t xml:space="preserve">Idem</x:t>
  </x:si>
  <x:si>
    <x:t xml:space="preserve">Taxa i + 1,0 p.p.</x:t>
  </x:si>
  <x:si>
    <x:t xml:space="preserve">Taxa i − 1,0 p.p.</x:t>
  </x:si>
  <x:si>
    <x:t xml:space="preserve">IPCA do ano civil (4,26%) em vez de 4,46%</x:t>
  </x:si>
  <x:si>
    <x:t xml:space="preserve">Fluxo −2,5% (revisão de RAP desfavorável, ordem de grandeza da REH 3.466 sobre o total: 898.790/36.273.035)</x:t>
  </x:si>
  <x:si>
    <x:t xml:space="preserve">F0003 p.46: remensuração por revisão do fluxo</x:t>
  </x:si>
  <x:si>
    <x:t xml:space="preserve">Prazo −2 anos</x:t>
  </x:si>
  <x:si>
    <x:t xml:space="preserve">Fim antecipado do fluxo (ex.: RBSE financeiro termina em 2028)</x:t>
  </x:si>
  <x:si>
    <x:t xml:space="preserve">Fórmula / leitura</x:t>
  </x:si>
  <x:si>
    <x:t xml:space="preserve">Remuneração 2025 sem REH</x:t>
  </x:si>
  <x:si>
    <x:t xml:space="preserve">F0003 p.9, 47</x:t>
  </x:si>
  <x:si>
    <x:t xml:space="preserve">Saldo médio do ativo contratual 2025</x:t>
  </x:si>
  <x:si>
    <x:t xml:space="preserve">Rendimento efetivo (taxa implícita + atualizações IPCA/WACC/VNR)</x:t>
  </x:si>
  <x:si>
    <x:t xml:space="preserve">Não é a taxa implícita isolada</x:t>
  </x:si>
  <x:si>
    <x:t xml:space="preserve">Sensibilidade: ±0,5 p.p. no rendimento × saldo médio</x:t>
  </x:si>
  <x:si>
    <x:t xml:space="preserve">Ordem de grandeza ≈ 1,9× ME</x:t>
  </x:si>
  <x:si>
    <x:t xml:space="preserve">Sensibilidade ao IPCA: 0,20 p.p. (4,46% − 4,26%) × saldo médio</x:t>
  </x:si>
  <x:si>
    <x:t xml:space="preserve">Se a janela do índice estivesse errada (não há indício)</x:t>
  </x:si>
  <x:si>
    <x:t xml:space="preserve">REH 3.466 / ME</x:t>
  </x:si>
  <x:si>
    <x:t xml:space="preserve">Revisão de premissa regulatória ≈ 10× ME</x:t>
  </x:si>
  <x:si>
    <x:t xml:space="preserve">Indicador (540 it. 14 e 32)</x:t>
  </x:si>
  <x:si>
    <x:t xml:space="preserve">2025</x:t>
  </x:si>
  <x:si>
    <x:t xml:space="preserve">2024</x:t>
  </x:si>
  <x:si>
    <x:t xml:space="preserve">Fonte</x:t>
  </x:si>
  <x:si>
    <x:t xml:space="preserve">Leitura</x:t>
  </x:si>
  <x:si>
    <x:t xml:space="preserve">Ganho (perda) de eficiência – desvio entre custo estimado e incorrido</x:t>
  </x:si>
  <x:si>
    <x:t xml:space="preserve">Pequeno (0,2% da receita de infraestrutura); sinal alterna – sem padrão de viés</x:t>
  </x:si>
  <x:si>
    <x:t xml:space="preserve">Eficiência / receita de infraestrutura</x:t>
  </x:si>
  <x:si>
    <x:t xml:space="preserve">RTP – remensuração por revisão tarifária</x:t>
  </x:si>
  <x:si>
    <x:t xml:space="preserve">Ajustes reconhecidos quando a ANEEL revisa (política p.45)</x:t>
  </x:si>
  <x:si>
    <x:t xml:space="preserve">RBSE financeiro: incerteza divulgada em 2024 → REH 3.466/2025</x:t>
  </x:si>
  <x:si>
    <x:t xml:space="preserve">F0011 p.37–38; F0003 p.38, 46</x:t>
  </x:si>
  <x:si>
    <x:t xml:space="preserve">Desfecho desfavorável de incerteza divulgada; 2024 mantinha REH 2.851/2021 por decisão pendente – sem indício de erro de 2024 (decisão em 10/06/2025)</x:t>
  </x:si>
  <x:si>
    <x:t xml:space="preserve">Margem de implementação percebida</x:t>
  </x:si>
  <x:si>
    <x:t xml:space="preserve">F0003 p.100</x:t>
  </x:si>
  <x:si>
    <x:t xml:space="preserve">Alta de 1 p.p.; mix de projetos – acompanhar viés para cima</x:t>
  </x:si>
  <x:si>
    <x:t xml:space="preserve">PIS/COFINS diferidos: administração avalia que podem deixar de ser exigíveis (reforma tributária) – NÃO reconhecido</x:t>
  </x:si>
  <x:si>
    <x:t xml:space="preserve">F0003 p.44; BP p.24</x:t>
  </x:si>
  <x:si>
    <x:t xml:space="preserve">Decisão prudente; potencial efeito favorável não antecipado → não indica viés otimista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</x:si>
</x:sst>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#,##0;[RED]\-#,##0"/>
    <x:numFmt numFmtId="166" formatCode="0.00%"/>
    <x:numFmt numFmtId="167" formatCode="0.00"/>
    <x:numFmt numFmtId="168" formatCode="0.0000%"/>
    <x:numFmt numFmtId="169" formatCode="0.0"/>
  </x:numFmts>
  <x:fonts count="7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name val="Cambria"/>
    </x:font>
    <x:font>
      <x:sz val="11"/>
      <x:name val="Cambria"/>
    </x:font>
    <x:font>
      <x:b/>
      <x:sz val="11"/>
      <x:color rgb="FFFFFFFF"/>
      <x:name val="Cambria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8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6" fillId="2" borderId="0" xfId="0" applyFont="1" applyBorder="0" applyAlignment="1" applyProtection="0">
      <x:alignment horizontal="general" vertical="top" wrapText="1" shrinkToFit="0"/>
      <x:protection locked="1" hidden="0"/>
    </x:xf>
    <x:xf numFmtId="164" fontId="0" fillId="0" borderId="0" xfId="0" applyFont="1" applyBorder="0" applyAlignment="1" applyProtection="0">
      <x:alignment horizontal="general" vertical="top" wrapText="1" shrinkToFit="0"/>
      <x:protection locked="1" hidden="0"/>
    </x:xf>
    <x:xf numFmtId="165" fontId="0" fillId="3" borderId="0" xfId="0" applyFont="0" applyBorder="0" applyAlignment="1" applyProtection="0">
      <x:alignment horizontal="general" vertical="top" wrapText="1" shrinkToFit="0"/>
      <x:protection locked="1" hidden="0"/>
    </x:xf>
    <x:xf numFmtId="165" fontId="0" fillId="0" borderId="0" xfId="0" applyFont="1" applyBorder="0" applyAlignment="1" applyProtection="0">
      <x:alignment horizontal="general" vertical="top" wrapText="1" shrinkToFit="0"/>
      <x:protection locked="1" hidden="0"/>
    </x:xf>
    <x:xf numFmtId="166" fontId="0" fillId="3" borderId="0" xfId="0" applyFont="0" applyBorder="0" applyAlignment="1" applyProtection="0">
      <x:alignment horizontal="general" vertical="top" wrapText="1" shrinkToFit="0"/>
      <x:protection locked="1" hidden="0"/>
    </x:xf>
    <x:xf numFmtId="164" fontId="0" fillId="3" borderId="0" xfId="0" applyFont="1" applyBorder="0" applyAlignment="1" applyProtection="0">
      <x:alignment horizontal="general" vertical="top" wrapText="1" shrinkToFit="0"/>
      <x:protection locked="1" hidden="0"/>
    </x:xf>
    <x:xf numFmtId="167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8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8" fontId="0" fillId="3" borderId="0" xfId="0" applyFont="0" applyBorder="0" applyAlignment="1" applyProtection="0">
      <x:alignment horizontal="general" vertical="top" wrapText="1" shrinkToFit="0"/>
      <x:protection locked="1" hidden="0"/>
    </x:xf>
    <x:xf numFmtId="164" fontId="4" fillId="0" borderId="0" xfId="0" applyFont="1" applyBorder="0" applyAlignment="1" applyProtection="0">
      <x:alignment horizontal="general" vertical="top" wrapText="1" shrinkToFit="0"/>
      <x:protection locked="1" hidden="0"/>
    </x:xf>
    <x:xf numFmtId="169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6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6" fillId="2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5" fontId="0" fillId="3" borderId="0" xfId="0" applyNumberFormat="1" applyFont="1" applyFill="1" applyBorder="1" applyAlignment="1">
      <x:alignment horizontal="general" vertical="top" wrapText="1"/>
    </x:xf>
    <x:xf numFmtId="165" fontId="0" fillId="0" borderId="0" xfId="0" applyNumberFormat="1" applyFont="1" applyFill="1" applyBorder="1" applyAlignment="1">
      <x:alignment horizontal="general" vertical="top" wrapText="1"/>
    </x:xf>
    <x:xf numFmtId="166" fontId="0" fillId="3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7" fontId="0" fillId="0" borderId="0" xfId="0" applyNumberFormat="1" applyFont="1" applyFill="1" applyBorder="1" applyAlignment="1">
      <x:alignment horizontal="general" vertical="top" wrapText="1"/>
    </x:xf>
    <x:xf numFmtId="168" fontId="0" fillId="0" borderId="0" xfId="0" applyNumberFormat="1" applyFont="1" applyFill="1" applyBorder="1" applyAlignment="1">
      <x:alignment horizontal="general" vertical="top" wrapText="1"/>
    </x:xf>
    <x:xf numFmtId="168" fontId="0" fillId="3" borderId="0" xfId="0" applyNumberFormat="1" applyFont="1" applyFill="1" applyBorder="1" applyAlignment="1">
      <x:alignment horizontal="general" vertical="top" wrapText="1"/>
    </x:xf>
    <x:xf numFmtId="164" fontId="4" fillId="0" borderId="0" xfId="0" applyNumberFormat="1" applyFont="1" applyFill="1" applyBorder="1" applyAlignment="1">
      <x:alignment horizontal="general" vertical="top" wrapText="1"/>
    </x:xf>
    <x:xf numFmtId="169" fontId="0" fillId="0" borderId="0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802f478214f22" /><Relationship Type="http://schemas.openxmlformats.org/officeDocument/2006/relationships/theme" Target="/xl/theme/theme1.xml" Id="R5b146a00f813488f" /><Relationship Type="http://schemas.openxmlformats.org/officeDocument/2006/relationships/sharedStrings" Target="/xl/sharedStrings.xml" Id="Rab338447e1e94148" /><Relationship Type="http://schemas.openxmlformats.org/officeDocument/2006/relationships/worksheet" Target="/xl/worksheets/sheet1.xml" Id="R8bf9bf18f40d4087" /><Relationship Type="http://schemas.openxmlformats.org/officeDocument/2006/relationships/worksheet" Target="/xl/worksheets/sheet2.xml" Id="R1799dac239ac4a32" /><Relationship Type="http://schemas.openxmlformats.org/officeDocument/2006/relationships/worksheet" Target="/xl/worksheets/sheet3.xml" Id="R6ed994c8ec4d4ef1" /><Relationship Type="http://schemas.openxmlformats.org/officeDocument/2006/relationships/worksheet" Target="/xl/worksheets/sheet4.xml" Id="R3791897259c74396" /><Relationship Type="http://schemas.openxmlformats.org/officeDocument/2006/relationships/worksheet" Target="/xl/worksheets/sheet5.xml" Id="Rd0b7049c9d3f440d" /><Relationship Type="http://schemas.openxmlformats.org/officeDocument/2006/relationships/worksheet" Target="/xl/worksheets/sheet6.xml" Id="R6afe3d91bad04a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0" hidden="0" customWidth="1"/>
  </x:cols>
  <x:sheetData>
    <x:row r="1" ht="15" hidden="0" customHeight="1">
      <x:c r="A1" s="15" t="s">
        <x:v>0</x:v>
      </x:c>
    </x:row>
    <x:row r="2" ht="26.399999618530273" hidden="0" customHeight="1">
      <x:c r="A2" s="16" t="s">
        <x:v>1</x:v>
      </x:c>
    </x:row>
    <x:row r="3" ht="15" hidden="0" customHeight="1">
      <x:c r="A3" s="16" t="s">
        <x:v>2</x:v>
      </x:c>
    </x:row>
    <x:row r="4" ht="26.399999618530273" hidden="0" customHeight="1">
      <x:c r="A4" s="16" t="str">
        <x:v>IPCA: o F0003 usa 4,46% (12 meses até nov/2025 – IBGE, WEB-B09-006), não o IPCA do ano civil 4,26% (IBGE, WEB-B09-005; F0003 p.6).; confirmação adicional B12: F0348 p.12 (4,26%) e F0349 p.8 (4,46%)</x:v>
      </x:c>
    </x:row>
    <x:row r="5" ht="15" hidden="0" customHeight="1">
      <x:c r="A5" s="16" t="s">
        <x:v>3</x:v>
      </x:c>
    </x:row>
    <x:row r="6" ht="15" hidden="0" customHeight="1">
      <x:c r="A6" s="16" t="s">
        <x:v>4</x:v>
      </x:c>
    </x:row>
  </x:sheetData>
  <x:pageMargins left="0.7" right="0.7" top="0.75" bottom="0.75" header="0.3" footer="0.3"/>
</x:worksheet>
</file>

<file path=xl/worksheets/sheet2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62" hidden="0" customWidth="1"/>
    <ns0:col min="2" max="2" width="16" hidden="0" customWidth="1"/>
    <ns0:col min="3" max="3" width="10" hidden="0" customWidth="1"/>
    <ns0:col min="4" max="4" width="50" hidden="0" customWidth="1"/>
  </ns0:cols>
  <ns0:sheetData>
    <ns0:row r="1" ht="15" hidden="0" customHeight="1">
      <ns0:c r="A1" s="17" t="s">
        <ns0:v>5</ns0:v>
      </ns0:c>
      <ns0:c r="B1" s="17" t="s">
        <ns0:v>6</ns0:v>
      </ns0:c>
      <ns0:c r="C1" s="17" t="s">
        <ns0:v>7</ns0:v>
      </ns0:c>
      <ns0:c r="D1" s="17" t="s">
        <ns0:v>8</ns0:v>
      </ns0:c>
    </ns0:row>
    <ns0:row r="2" ht="15" hidden="0" customHeight="1">
      <ns0:c r="A2" s="18" t="s">
        <ns0:v>9</ns0:v>
      </ns0:c>
      <ns0:c r="B2" s="19" t="n">
        <ns0:v>36273035</ns0:v>
      </ns0:c>
      <ns0:c r="C2" s="18" t="s">
        <ns0:v>10</ns0:v>
      </ns0:c>
      <ns0:c r="D2" s="18" t="s">
        <ns0:v>11</ns0:v>
      </ns0:c>
    </ns0:row>
    <ns0:row r="3" ht="15" hidden="0" customHeight="1">
      <ns0:c r="A3" s="18" t="s">
        <ns0:v>12</ns0:v>
      </ns0:c>
      <ns0:c r="B3" s="19" t="n">
        <ns0:v>30853759</ns0:v>
      </ns0:c>
      <ns0:c r="C3" s="18" t="s">
        <ns0:v>10</ns0:v>
      </ns0:c>
      <ns0:c r="D3" s="18" t="s">
        <ns0:v>11</ns0:v>
      </ns0:c>
    </ns0:row>
    <ns0:row r="4" ht="15" hidden="0" customHeight="1">
      <ns0:c r="A4" s="18" t="s">
        <ns0:v>13</ns0:v>
      </ns0:c>
      <ns0:c r="B4" s="20" t="s">
        <ns0:v>14</ns0:v>
      </ns0:c>
      <ns0:c r="C4" s="18" t="s">
        <ns0:v>10</ns0:v>
      </ns0:c>
      <ns0:c r="D4" s="18" t="s">
        <ns0:v>11</ns0:v>
      </ns0:c>
    </ns0:row>
    <ns0:row r="5" ht="15" hidden="0" customHeight="1">
      <ns0:c r="A5" s="18" t="s">
        <ns0:v>15</ns0:v>
      </ns0:c>
      <ns0:c r="B5" s="20" t="s">
        <ns0:v>16</ns0:v>
      </ns0:c>
      <ns0:c r="C5" s="18" t="s">
        <ns0:v>10</ns0:v>
      </ns0:c>
      <ns0:c r="D5" s="18" t="s">
        <ns0:v>11</ns0:v>
      </ns0:c>
    </ns0:row>
    <ns0:row r="6" ht="15" hidden="0" customHeight="1">
      <ns0:c r="A6" s="18" t="s">
        <ns0:v>17</ns0:v>
      </ns0:c>
      <ns0:c r="B6" s="19" t="n">
        <ns0:v>2949237</ns0:v>
      </ns0:c>
      <ns0:c r="C6" s="18" t="s">
        <ns0:v>10</ns0:v>
      </ns0:c>
      <ns0:c r="D6" s="18" t="s">
        <ns0:v>18</ns0:v>
      </ns0:c>
    </ns0:row>
    <ns0:row r="7" ht="15" hidden="0" customHeight="1">
      <ns0:c r="A7" s="18" t="s">
        <ns0:v>19</ns0:v>
      </ns0:c>
      <ns0:c r="B7" s="19" t="n">
        <ns0:v>-898790</ns0:v>
      </ns0:c>
      <ns0:c r="C7" s="18" t="s">
        <ns0:v>10</ns0:v>
      </ns0:c>
      <ns0:c r="D7" s="18" t="s">
        <ns0:v>20</ns0:v>
      </ns0:c>
    </ns0:row>
    <ns0:row r="8" ht="15" hidden="0" customHeight="1">
      <ns0:c r="A8" s="18" t="s">
        <ns0:v>21</ns0:v>
      </ns0:c>
      <ns0:c r="B8" s="19" t="n">
        <ns0:v>5304081</ns0:v>
      </ns0:c>
      <ns0:c r="C8" s="18" t="s">
        <ns0:v>10</ns0:v>
      </ns0:c>
      <ns0:c r="D8" s="18" t="s">
        <ns0:v>22</ns0:v>
      </ns0:c>
    </ns0:row>
    <ns0:row r="9" ht="15" hidden="0" customHeight="1">
      <ns0:c r="A9" s="18" t="s">
        <ns0:v>23</ns0:v>
      </ns0:c>
      <ns0:c r="B9" s="20">
        <ns0:f aca="0">193064+1264867-4286-158263</ns0:f>
        <ns0:v>1295382</ns0:v>
      </ns0:c>
      <ns0:c r="C9" s="18" t="s">
        <ns0:v>10</ns0:v>
      </ns0:c>
      <ns0:c r="D9" s="18" t="s">
        <ns0:v>24</ns0:v>
      </ns0:c>
    </ns0:row>
    <ns0:row r="10" ht="15" hidden="0" customHeight="1">
      <ns0:c r="A10" s="18" t="s">
        <ns0:v>25</ns0:v>
      </ns0:c>
      <ns0:c r="B10" s="20">
        <ns0:f aca="0">B8-B9</ns0:f>
        <ns0:v>4008699</ns0:v>
      </ns0:c>
      <ns0:c r="C10" s="18" t="s">
        <ns0:v>10</ns0:v>
      </ns0:c>
      <ns0:c r="D10" s="18" t="s">
        <ns0:v>26</ns0:v>
      </ns0:c>
    </ns0:row>
    <ns0:row r="11" ht="15" hidden="0" customHeight="1">
      <ns0:c r="A11" s="18" t="s">
        <ns0:v>27</ns0:v>
      </ns0:c>
      <ns0:c r="B11" s="20" t="s">
        <ns0:v>28</ns0:v>
      </ns0:c>
      <ns0:c r="C11" s="18"/>
      <ns0:c r="D11" s="18" t="s">
        <ns0:v>29</ns0:v>
      </ns0:c>
    </ns0:row>
    <ns0:row r="12" ht="26.399999618530273" hidden="0" customHeight="1">
      <ns0:c r="A12" s="18" t="s">
        <ns0:v>30</ns0:v>
      </ns0:c>
      <ns0:c r="B12" s="21" t="n">
        <ns0:v>0.0446</ns0:v>
      </ns0:c>
      <ns0:c r="C12" s="18" t="s">
        <ns0:v>31</ns0:v>
      </ns0:c>
      <ns0:c r="D12" s="18" t="str">
        <ns0:v>F0003 p.9 nota ¹; IBGE 12 meses até nov/2025 = 4,46% (WEB-B09-006)</ns0:v>
      </ns0:c>
    </ns0:row>
    <ns0:row r="13" ht="26.399999618530273" hidden="0" customHeight="1">
      <ns0:c r="A13" s="18" t="s">
        <ns0:v>32</ns0:v>
      </ns0:c>
      <ns0:c r="B13" s="21" t="n">
        <ns0:v>0.0426</ns0:v>
      </ns0:c>
      <ns0:c r="C13" s="18" t="s">
        <ns0:v>31</ns0:v>
      </ns0:c>
      <ns0:c r="D13" s="18" t="str">
        <ns0:v>IBGE (WEB-B09-005); F0003 p.6; confirmação adicional B12: F0348 p.12 (4,26%) e F0349 p.8 (4,46%)</ns0:v>
      </ns0:c>
    </ns0:row>
    <ns0:row r="14" ht="15" hidden="0" customHeight="1">
      <ns0:c r="A14" s="18" t="s">
        <ns0:v>33</ns0:v>
      </ns0:c>
      <ns0:c r="B14" s="20" t="n">
        <ns0:v>2028</ns0:v>
      </ns0:c>
      <ns0:c r="C14" s="18" t="s">
        <ns0:v>34</ns0:v>
      </ns0:c>
      <ns0:c r="D14" s="18" t="s">
        <ns0:v>35</ns0:v>
      </ns0:c>
    </ns0:row>
    <ns0:row r="15" ht="15" hidden="0" customHeight="1">
      <ns0:c r="A15" s="18" t="s">
        <ns0:v>36</ns0:v>
      </ns0:c>
      <ns0:c r="B15" s="20" t="s">
        <ns0:v>37</ns0:v>
      </ns0:c>
      <ns0:c r="C15" s="18"/>
      <ns0:c r="D15" s="18" t="s">
        <ns0:v>38</ns0:v>
      </ns0:c>
    </ns0:row>
    <ns0:row r="16" ht="15" hidden="0" customHeight="1">
      <ns0:c r="A16" s="18" t="s">
        <ns0:v>39</ns0:v>
      </ns0:c>
      <ns0:c r="B16" s="20">
        <ns0:f aca="0">Prazo!F31</ns0:f>
        <ns0:v>19.1865331743976</ns0:v>
      </ns0:c>
      <ns0:c r="C16" s="18" t="s">
        <ns0:v>40</ns0:v>
      </ns0:c>
      <ns0:c r="D16" s="18" t="s">
        <ns0:v>41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10" hidden="0" customWidth="1"/>
    <ns0:col min="2" max="2" width="36" hidden="0" customWidth="1"/>
    <ns0:col min="3" max="3" width="14" hidden="0" customWidth="1"/>
    <ns0:col min="4" max="4" width="12" hidden="0" customWidth="1"/>
    <ns0:col min="5" max="5" width="14" hidden="0" customWidth="1"/>
    <ns0:col min="6" max="6" width="16" hidden="0" customWidth="1"/>
  </ns0:cols>
  <ns0:sheetData>
    <ns0:row r="1" ht="28.350000381469727" hidden="0">
      <ns0:c r="A1" s="3" t="s">
        <ns0:v>42</ns0:v>
      </ns0:c>
      <ns0:c r="B1" s="3" t="s">
        <ns0:v>43</ns0:v>
      </ns0:c>
      <ns0:c r="C1" s="3" t="s">
        <ns0:v>44</ns0:v>
      </ns0:c>
      <ns0:c r="D1" s="3" t="s">
        <ns0:v>45</ns0:v>
      </ns0:c>
      <ns0:c r="E1" s="3" t="s">
        <ns0:v>46</ns0:v>
      </ns0:c>
      <ns0:c r="F1" s="3" t="s">
        <ns0:v>47</ns0:v>
      </ns0:c>
    </ns0:row>
    <ns0:row r="2" ht="15" hidden="0">
      <ns0:c r="A2" s="4" t="s">
        <ns0:v>48</ns0:v>
      </ns0:c>
      <ns0:c r="B2" s="4" t="s">
        <ns0:v>49</ns0:v>
      </ns0:c>
      <ns0:c r="C2" s="5" t="n">
        <ns0:v>3627047</ns0:v>
      </ns0:c>
      <ns0:c r="D2" s="8" t="s">
        <ns0:v>37</ns0:v>
      </ns0:c>
      <ns0:c r="E2" s="9">
        <ns0:f aca="0">(DATE(2042,12,31)-DATE(2025,12,31))/365.25</ns0:f>
        <ns0:v>16.9993155373032</ns0:v>
      </ns0:c>
      <ns0:c r="F2" s="6">
        <ns0:f aca="0">C2*E2</ns0:f>
        <ns0:v>61657316.421629</ns0:v>
      </ns0:c>
    </ns0:row>
    <ns0:row r="3" ht="15" hidden="0">
      <ns0:c r="A3" s="4" t="s">
        <ns0:v>50</ns0:v>
      </ns0:c>
      <ns0:c r="B3" s="4" t="s">
        <ns0:v>49</ns0:v>
      </ns0:c>
      <ns0:c r="C3" s="5" t="n">
        <ns0:v>226403</ns0:v>
      </ns0:c>
      <ns0:c r="D3" s="8" t="s">
        <ns0:v>51</ns0:v>
      </ns0:c>
      <ns0:c r="E3" s="9">
        <ns0:f aca="0">(DATE(2046,11,20)-DATE(2025,12,31))/365.25</ns0:f>
        <ns0:v>20.8870636550308</ns0:v>
      </ns0:c>
      <ns0:c r="F3" s="6">
        <ns0:f aca="0">C3*E3</ns0:f>
        <ns0:v>4728893.87268994</ns0:v>
      </ns0:c>
    </ns0:row>
    <ns0:row r="4" ht="15" hidden="0">
      <ns0:c r="A4" s="4" t="s">
        <ns0:v>52</ns0:v>
      </ns0:c>
      <ns0:c r="B4" s="4" t="s">
        <ns0:v>53</ns0:v>
      </ns0:c>
      <ns0:c r="C4" s="5" t="n">
        <ns0:v>343101</ns0:v>
      </ns0:c>
      <ns0:c r="D4" s="8" t="s">
        <ns0:v>54</ns0:v>
      </ns0:c>
      <ns0:c r="E4" s="9">
        <ns0:f aca="0">(DATE(2052,9,30)-DATE(2025,12,31))/365.25</ns0:f>
        <ns0:v>26.7488021902806</ns0:v>
      </ns0:c>
      <ns0:c r="F4" s="6">
        <ns0:f aca="0">C4*E4</ns0:f>
        <ns0:v>9177540.78028747</ns0:v>
      </ns0:c>
    </ns0:row>
    <ns0:row r="5" ht="15" hidden="0">
      <ns0:c r="A5" s="4" t="s">
        <ns0:v>55</ns0:v>
      </ns0:c>
      <ns0:c r="B5" s="4" t="s">
        <ns0:v>56</ns0:v>
      </ns0:c>
      <ns0:c r="C5" s="5" t="n">
        <ns0:v>321808</ns0:v>
      </ns0:c>
      <ns0:c r="D5" s="8" t="s">
        <ns0:v>57</ns0:v>
      </ns0:c>
      <ns0:c r="E5" s="9">
        <ns0:f aca="0">(DATE(2053,9,29)-DATE(2025,12,31))/365.25</ns0:f>
        <ns0:v>27.7453798767967</ns0:v>
      </ns0:c>
      <ns0:c r="F5" s="6">
        <ns0:f aca="0">C5*E5</ns0:f>
        <ns0:v>8928685.2073922</ns0:v>
      </ns0:c>
    </ns0:row>
    <ns0:row r="6" ht="15" hidden="0">
      <ns0:c r="A6" s="4" t="s">
        <ns0:v>58</ns0:v>
      </ns0:c>
      <ns0:c r="B6" s="4" t="s">
        <ns0:v>59</ns0:v>
      </ns0:c>
      <ns0:c r="C6" s="5" t="n">
        <ns0:v>248177</ns0:v>
      </ns0:c>
      <ns0:c r="D6" s="8" t="s">
        <ns0:v>57</ns0:v>
      </ns0:c>
      <ns0:c r="E6" s="9">
        <ns0:f aca="0">(DATE(2053,9,29)-DATE(2025,12,31))/365.25</ns0:f>
        <ns0:v>27.7453798767967</ns0:v>
      </ns0:c>
      <ns0:c r="F6" s="6">
        <ns0:f aca="0">C6*E6</ns0:f>
        <ns0:v>6885765.14168378</ns0:v>
      </ns0:c>
    </ns0:row>
    <ns0:row r="7" ht="15" hidden="0">
      <ns0:c r="A7" s="4" t="s">
        <ns0:v>60</ns0:v>
      </ns0:c>
      <ns0:c r="B7" s="4" t="s">
        <ns0:v>61</ns0:v>
      </ns0:c>
      <ns0:c r="C7" s="5" t="n">
        <ns0:v>19896</ns0:v>
      </ns0:c>
      <ns0:c r="D7" s="8" t="s">
        <ns0:v>62</ns0:v>
      </ns0:c>
      <ns0:c r="E7" s="9">
        <ns0:f aca="0">(DATE(2031,12,20)-DATE(2025,12,31))/365.25</ns0:f>
        <ns0:v>5.96851471594798</ns0:v>
      </ns0:c>
      <ns0:c r="F7" s="6">
        <ns0:f aca="0">C7*E7</ns0:f>
        <ns0:v>118749.568788501</ns0:v>
      </ns0:c>
    </ns0:row>
    <ns0:row r="8" ht="15" hidden="0">
      <ns0:c r="A8" s="4" t="s">
        <ns0:v>63</ns0:v>
      </ns0:c>
      <ns0:c r="B8" s="4" t="s">
        <ns0:v>64</ns0:v>
      </ns0:c>
      <ns0:c r="C8" s="5" t="n">
        <ns0:v>17829</ns0:v>
      </ns0:c>
      <ns0:c r="D8" s="8" t="s">
        <ns0:v>65</ns0:v>
      </ns0:c>
      <ns0:c r="E8" s="9">
        <ns0:f aca="0">(DATE(2037,4,23)-DATE(2025,12,31))/365.25</ns0:f>
        <ns0:v>11.3100616016427</ns0:v>
      </ns0:c>
      <ns0:c r="F8" s="6">
        <ns0:f aca="0">C8*E8</ns0:f>
        <ns0:v>201647.088295688</ns0:v>
      </ns0:c>
    </ns0:row>
    <ns0:row r="9" ht="15" hidden="0">
      <ns0:c r="A9" s="4" t="s">
        <ns0:v>66</ns0:v>
      </ns0:c>
      <ns0:c r="B9" s="4" t="s">
        <ns0:v>67</ns0:v>
      </ns0:c>
      <ns0:c r="C9" s="5" t="n">
        <ns0:v>68994</ns0:v>
      </ns0:c>
      <ns0:c r="D9" s="8" t="s">
        <ns0:v>68</ns0:v>
      </ns0:c>
      <ns0:c r="E9" s="9">
        <ns0:f aca="0">(DATE(2038,3,16)-DATE(2025,12,31))/365.25</ns0:f>
        <ns0:v>12.2053388090349</ns0:v>
      </ns0:c>
      <ns0:c r="F9" s="6">
        <ns0:f aca="0">C9*E9</ns0:f>
        <ns0:v>842095.145790555</ns0:v>
      </ns0:c>
    </ns0:row>
    <ns0:row r="10" ht="15" hidden="0">
      <ns0:c r="A10" s="4" t="s">
        <ns0:v>69</ns0:v>
      </ns0:c>
      <ns0:c r="B10" s="4" t="s">
        <ns0:v>70</ns0:v>
      </ns0:c>
      <ns0:c r="C10" s="5" t="n">
        <ns0:v>16209</ns0:v>
      </ns0:c>
      <ns0:c r="D10" s="8" t="s">
        <ns0:v>71</ns0:v>
      </ns0:c>
      <ns0:c r="E10" s="9">
        <ns0:f aca="0">(DATE(2038,10,15)-DATE(2025,12,31))/365.25</ns0:f>
        <ns0:v>12.788501026694</ns0:v>
      </ns0:c>
      <ns0:c r="F10" s="6">
        <ns0:f aca="0">C10*E10</ns0:f>
        <ns0:v>207288.813141684</ns0:v>
      </ns0:c>
    </ns0:row>
    <ns0:row r="11" ht="15" hidden="0">
      <ns0:c r="A11" s="4" t="s">
        <ns0:v>72</ns0:v>
      </ns0:c>
      <ns0:c r="B11" s="4" t="s">
        <ns0:v>73</ns0:v>
      </ns0:c>
      <ns0:c r="C11" s="5" t="n">
        <ns0:v>7616</ns0:v>
      </ns0:c>
      <ns0:c r="D11" s="8" t="s">
        <ns0:v>71</ns0:v>
      </ns0:c>
      <ns0:c r="E11" s="9">
        <ns0:f aca="0">(DATE(2038,10,15)-DATE(2025,12,31))/365.25</ns0:f>
        <ns0:v>12.788501026694</ns0:v>
      </ns0:c>
      <ns0:c r="F11" s="6">
        <ns0:f aca="0">C11*E11</ns0:f>
        <ns0:v>97397.2238193018</ns0:v>
      </ns0:c>
    </ns0:row>
    <ns0:row r="12" ht="15" hidden="0">
      <ns0:c r="A12" s="4" t="s">
        <ns0:v>74</ns0:v>
      </ns0:c>
      <ns0:c r="B12" s="4" t="s">
        <ns0:v>75</ns0:v>
      </ns0:c>
      <ns0:c r="C12" s="5" t="n">
        <ns0:v>74223</ns0:v>
      </ns0:c>
      <ns0:c r="D12" s="8" t="s">
        <ns0:v>71</ns0:v>
      </ns0:c>
      <ns0:c r="E12" s="9">
        <ns0:f aca="0">(DATE(2038,10,15)-DATE(2025,12,31))/365.25</ns0:f>
        <ns0:v>12.788501026694</ns0:v>
      </ns0:c>
      <ns0:c r="F12" s="6">
        <ns0:f aca="0">C12*E12</ns0:f>
        <ns0:v>949200.911704312</ns0:v>
      </ns0:c>
    </ns0:row>
    <ns0:row r="13" ht="15" hidden="0">
      <ns0:c r="A13" s="4" t="s">
        <ns0:v>76</ns0:v>
      </ns0:c>
      <ns0:c r="B13" s="4" t="s">
        <ns0:v>73</ns0:v>
      </ns0:c>
      <ns0:c r="C13" s="5" t="n">
        <ns0:v>19765</ns0:v>
      </ns0:c>
      <ns0:c r="D13" s="8" t="s">
        <ns0:v>71</ns0:v>
      </ns0:c>
      <ns0:c r="E13" s="9">
        <ns0:f aca="0">(DATE(2038,10,15)-DATE(2025,12,31))/365.25</ns0:f>
        <ns0:v>12.788501026694</ns0:v>
      </ns0:c>
      <ns0:c r="F13" s="6">
        <ns0:f aca="0">C13*E13</ns0:f>
        <ns0:v>252764.722792608</ns0:v>
      </ns0:c>
    </ns0:row>
    <ns0:row r="14" ht="15" hidden="0">
      <ns0:c r="A14" s="4" t="s">
        <ns0:v>77</ns0:v>
      </ns0:c>
      <ns0:c r="B14" s="4" t="s">
        <ns0:v>78</ns0:v>
      </ns0:c>
      <ns0:c r="C14" s="5" t="n">
        <ns0:v>8195</ns0:v>
      </ns0:c>
      <ns0:c r="D14" s="8" t="s">
        <ns0:v>71</ns0:v>
      </ns0:c>
      <ns0:c r="E14" s="9">
        <ns0:f aca="0">(DATE(2038,10,15)-DATE(2025,12,31))/365.25</ns0:f>
        <ns0:v>12.788501026694</ns0:v>
      </ns0:c>
      <ns0:c r="F14" s="6">
        <ns0:f aca="0">C14*E14</ns0:f>
        <ns0:v>104801.765913758</ns0:v>
      </ns0:c>
    </ns0:row>
    <ns0:row r="15" ht="15" hidden="0">
      <ns0:c r="A15" s="4" t="s">
        <ns0:v>79</ns0:v>
      </ns0:c>
      <ns0:c r="B15" s="4" t="s">
        <ns0:v>80</ns0:v>
      </ns0:c>
      <ns0:c r="C15" s="5" t="n">
        <ns0:v>63184</ns0:v>
      </ns0:c>
      <ns0:c r="D15" s="8" t="s">
        <ns0:v>81</ns0:v>
      </ns0:c>
      <ns0:c r="E15" s="9">
        <ns0:f aca="0">(DATE(2039,11,18)-DATE(2025,12,31))/365.25</ns0:f>
        <ns0:v>13.8809034907598</ns0:v>
      </ns0:c>
      <ns0:c r="F15" s="6">
        <ns0:f aca="0">C15*E15</ns0:f>
        <ns0:v>877051.006160164</ns0:v>
      </ns0:c>
    </ns0:row>
    <ns0:row r="16" ht="15" hidden="0">
      <ns0:c r="A16" s="4" t="s">
        <ns0:v>82</ns0:v>
      </ns0:c>
      <ns0:c r="B16" s="4" t="s">
        <ns0:v>83</ns0:v>
      </ns0:c>
      <ns0:c r="C16" s="5" t="n">
        <ns0:v>9235</ns0:v>
      </ns0:c>
      <ns0:c r="D16" s="8" t="s">
        <ns0:v>84</ns0:v>
      </ns0:c>
      <ns0:c r="E16" s="9">
        <ns0:f aca="0">(DATE(2041,12,9)-DATE(2025,12,31))/365.25</ns0:f>
        <ns0:v>15.9397672826831</ns0:v>
      </ns0:c>
      <ns0:c r="F16" s="6">
        <ns0:f aca="0">C16*E16</ns0:f>
        <ns0:v>147203.750855578</ns0:v>
      </ns0:c>
    </ns0:row>
    <ns0:row r="17" ht="15" hidden="0">
      <ns0:c r="A17" s="4" t="s">
        <ns0:v>85</ns0:v>
      </ns0:c>
      <ns0:c r="B17" s="4" t="s">
        <ns0:v>86</ns0:v>
      </ns0:c>
      <ns0:c r="C17" s="5" t="n">
        <ns0:v>69214</ns0:v>
      </ns0:c>
      <ns0:c r="D17" s="8" t="s">
        <ns0:v>87</ns0:v>
      </ns0:c>
      <ns0:c r="E17" s="9">
        <ns0:f aca="0">(DATE(2047,2,10)-DATE(2025,12,31))/365.25</ns0:f>
        <ns0:v>21.1115674195756</ns0:v>
      </ns0:c>
      <ns0:c r="F17" s="6">
        <ns0:f aca="0">C17*E17</ns0:f>
        <ns0:v>1461216.02737851</ns0:v>
      </ns0:c>
    </ns0:row>
    <ns0:row r="18" ht="15" hidden="0">
      <ns0:c r="A18" s="4" t="s">
        <ns0:v>88</ns0:v>
      </ns0:c>
      <ns0:c r="B18" s="4" t="s">
        <ns0:v>89</ns0:v>
      </ns0:c>
      <ns0:c r="C18" s="5" t="n">
        <ns0:v>23075</ns0:v>
      </ns0:c>
      <ns0:c r="D18" s="8" t="s">
        <ns0:v>90</ns0:v>
      </ns0:c>
      <ns0:c r="E18" s="9">
        <ns0:f aca="0">(DATE(2047,8,11)-DATE(2025,12,31))/365.25</ns0:f>
        <ns0:v>21.6098562628337</ns0:v>
      </ns0:c>
      <ns0:c r="F18" s="6">
        <ns0:f aca="0">C18*E18</ns0:f>
        <ns0:v>498647.433264887</ns0:v>
      </ns0:c>
    </ns0:row>
    <ns0:row r="19" ht="15" hidden="0">
      <ns0:c r="A19" s="4" t="s">
        <ns0:v>91</ns0:v>
      </ns0:c>
      <ns0:c r="B19" s="4" t="s">
        <ns0:v>92</ns0:v>
      </ns0:c>
      <ns0:c r="C19" s="5" t="n">
        <ns0:v>68630</ns0:v>
      </ns0:c>
      <ns0:c r="D19" s="8" t="s">
        <ns0:v>90</ns0:v>
      </ns0:c>
      <ns0:c r="E19" s="9">
        <ns0:f aca="0">(DATE(2047,8,11)-DATE(2025,12,31))/365.25</ns0:f>
        <ns0:v>21.6098562628337</ns0:v>
      </ns0:c>
      <ns0:c r="F19" s="6">
        <ns0:f aca="0">C19*E19</ns0:f>
        <ns0:v>1483084.43531828</ns0:v>
      </ns0:c>
    </ns0:row>
    <ns0:row r="20" ht="15" hidden="0">
      <ns0:c r="A20" s="4" t="s">
        <ns0:v>93</ns0:v>
      </ns0:c>
      <ns0:c r="B20" s="4" t="s">
        <ns0:v>61</ns0:v>
      </ns0:c>
      <ns0:c r="C20" s="5" t="n">
        <ns0:v>15602</ns0:v>
      </ns0:c>
      <ns0:c r="D20" s="8" t="s">
        <ns0:v>90</ns0:v>
      </ns0:c>
      <ns0:c r="E20" s="9">
        <ns0:f aca="0">(DATE(2047,8,11)-DATE(2025,12,31))/365.25</ns0:f>
        <ns0:v>21.6098562628337</ns0:v>
      </ns0:c>
      <ns0:c r="F20" s="6">
        <ns0:f aca="0">C20*E20</ns0:f>
        <ns0:v>337156.977412731</ns0:v>
      </ns0:c>
    </ns0:row>
    <ns0:row r="21" ht="15" hidden="0">
      <ns0:c r="A21" s="4" t="s">
        <ns0:v>94</ns0:v>
      </ns0:c>
      <ns0:c r="B21" s="4" t="s">
        <ns0:v>95</ns0:v>
      </ns0:c>
      <ns0:c r="C21" s="5" t="n">
        <ns0:v>79491</ns0:v>
      </ns0:c>
      <ns0:c r="D21" s="8" t="s">
        <ns0:v>90</ns0:v>
      </ns0:c>
      <ns0:c r="E21" s="9">
        <ns0:f aca="0">(DATE(2047,8,11)-DATE(2025,12,31))/365.25</ns0:f>
        <ns0:v>21.6098562628337</ns0:v>
      </ns0:c>
      <ns0:c r="F21" s="6">
        <ns0:f aca="0">C21*E21</ns0:f>
        <ns0:v>1717789.08418891</ns0:v>
      </ns0:c>
    </ns0:row>
    <ns0:row r="22" ht="15" hidden="0">
      <ns0:c r="A22" s="4" t="s">
        <ns0:v>96</ns0:v>
      </ns0:c>
      <ns0:c r="B22" s="4" t="s">
        <ns0:v>97</ns0:v>
      </ns0:c>
      <ns0:c r="C22" s="5" t="n">
        <ns0:v>54333</ns0:v>
      </ns0:c>
      <ns0:c r="D22" s="8" t="s">
        <ns0:v>98</ns0:v>
      </ns0:c>
      <ns0:c r="E22" s="9">
        <ns0:f aca="0">(DATE(2048,9,20)-DATE(2025,12,31))/365.25</ns0:f>
        <ns0:v>22.7214236824093</ns0:v>
      </ns0:c>
      <ns0:c r="F22" s="6">
        <ns0:f aca="0">C22*E22</ns0:f>
        <ns0:v>1234523.11293635</ns0:v>
      </ns0:c>
    </ns0:row>
    <ns0:row r="23" ht="15" hidden="0">
      <ns0:c r="A23" s="4" t="s">
        <ns0:v>99</ns0:v>
      </ns0:c>
      <ns0:c r="B23" s="4" t="s">
        <ns0:v>83</ns0:v>
      </ns0:c>
      <ns0:c r="C23" s="5" t="n">
        <ns0:v>17630</ns0:v>
      </ns0:c>
      <ns0:c r="D23" s="8" t="s">
        <ns0:v>98</ns0:v>
      </ns0:c>
      <ns0:c r="E23" s="9">
        <ns0:f aca="0">(DATE(2048,9,20)-DATE(2025,12,31))/365.25</ns0:f>
        <ns0:v>22.7214236824093</ns0:v>
      </ns0:c>
      <ns0:c r="F23" s="6">
        <ns0:f aca="0">C23*E23</ns0:f>
        <ns0:v>400578.699520876</ns0:v>
      </ns0:c>
    </ns0:row>
    <ns0:row r="24" ht="15" hidden="0">
      <ns0:c r="A24" s="4" t="s">
        <ns0:v>100</ns0:v>
      </ns0:c>
      <ns0:c r="B24" s="4" t="s">
        <ns0:v>101</ns0:v>
      </ns0:c>
      <ns0:c r="C24" s="5" t="n">
        <ns0:v>54367</ns0:v>
      </ns0:c>
      <ns0:c r="D24" s="8" t="s">
        <ns0:v>102</ns0:v>
      </ns0:c>
      <ns0:c r="E24" s="9">
        <ns0:f aca="0">(DATE(2050,3,20)-DATE(2025,12,31))/365.25</ns0:f>
        <ns0:v>24.2162902121834</ns0:v>
      </ns0:c>
      <ns0:c r="F24" s="6">
        <ns0:f aca="0">C24*E24</ns0:f>
        <ns0:v>1316567.04996578</ns0:v>
      </ns0:c>
    </ns0:row>
    <ns0:row r="25" ht="15" hidden="0">
      <ns0:c r="A25" s="4" t="s">
        <ns0:v>103</ns0:v>
      </ns0:c>
      <ns0:c r="B25" s="4" t="s">
        <ns0:v>89</ns0:v>
      </ns0:c>
      <ns0:c r="C25" s="5" t="n">
        <ns0:v>7201</ns0:v>
      </ns0:c>
      <ns0:c r="D25" s="8" t="s">
        <ns0:v>102</ns0:v>
      </ns0:c>
      <ns0:c r="E25" s="9">
        <ns0:f aca="0">(DATE(2050,3,20)-DATE(2025,12,31))/365.25</ns0:f>
        <ns0:v>24.2162902121834</ns0:v>
      </ns0:c>
      <ns0:c r="F25" s="6">
        <ns0:f aca="0">C25*E25</ns0:f>
        <ns0:v>174381.505817933</ns0:v>
      </ns0:c>
    </ns0:row>
    <ns0:row r="26" ht="15" hidden="0">
      <ns0:c r="A26" s="4" t="s">
        <ns0:v>104</ns0:v>
      </ns0:c>
      <ns0:c r="B26" s="4" t="s">
        <ns0:v>105</ns0:v>
      </ns0:c>
      <ns0:c r="C26" s="5" t="n">
        <ns0:v>44407</ns0:v>
      </ns0:c>
      <ns0:c r="D26" s="8" t="s">
        <ns0:v>102</ns0:v>
      </ns0:c>
      <ns0:c r="E26" s="9">
        <ns0:f aca="0">(DATE(2050,3,20)-DATE(2025,12,31))/365.25</ns0:f>
        <ns0:v>24.2162902121834</ns0:v>
      </ns0:c>
      <ns0:c r="F26" s="6">
        <ns0:f aca="0">C26*E26</ns0:f>
        <ns0:v>1075372.79945243</ns0:v>
      </ns0:c>
    </ns0:row>
    <ns0:row r="27" ht="15" hidden="0">
      <ns0:c r="A27" s="4" t="s">
        <ns0:v>106</ns0:v>
      </ns0:c>
      <ns0:c r="B27" s="4" t="s">
        <ns0:v>107</ns0:v>
      </ns0:c>
      <ns0:c r="C27" s="5" t="n">
        <ns0:v>93095</ns0:v>
      </ns0:c>
      <ns0:c r="D27" s="8" t="s">
        <ns0:v>108</ns0:v>
      </ns0:c>
      <ns0:c r="E27" s="9">
        <ns0:f aca="0">(DATE(2051,3,30)-DATE(2025,12,31))/365.25</ns0:f>
        <ns0:v>25.242984257358</ns0:v>
      </ns0:c>
      <ns0:c r="F27" s="6">
        <ns0:f aca="0">C27*E27</ns0:f>
        <ns0:v>2349995.61943874</ns0:v>
      </ns0:c>
    </ns0:row>
    <ns0:row r="28" ht="15" hidden="0">
      <ns0:c r="A28" s="4" t="s">
        <ns0:v>109</ns0:v>
      </ns0:c>
      <ns0:c r="B28" s="4" t="s">
        <ns0:v>110</ns0:v>
      </ns0:c>
      <ns0:c r="C28" s="5" t="n">
        <ns0:v>16130</ns0:v>
      </ns0:c>
      <ns0:c r="D28" s="8" t="s">
        <ns0:v>54</ns0:v>
      </ns0:c>
      <ns0:c r="E28" s="9">
        <ns0:f aca="0">(DATE(2052,9,30)-DATE(2025,12,31))/365.25</ns0:f>
        <ns0:v>26.7488021902806</ns0:v>
      </ns0:c>
      <ns0:c r="F28" s="6">
        <ns0:f aca="0">C28*E28</ns0:f>
        <ns0:v>431458.179329227</ns0:v>
      </ns0:c>
    </ns0:row>
    <ns0:row r="29" ht="15" hidden="0">
      <ns0:c r="A29" s="4" t="s">
        <ns0:v>111</ns0:v>
      </ns0:c>
      <ns0:c r="B29" s="4" t="s">
        <ns0:v>112</ns0:v>
      </ns0:c>
      <ns0:c r="C29" s="5" t="n">
        <ns0:v>8467</ns0:v>
      </ns0:c>
      <ns0:c r="D29" s="8" t="s">
        <ns0:v>57</ns0:v>
      </ns0:c>
      <ns0:c r="E29" s="9">
        <ns0:f aca="0">(DATE(2053,9,29)-DATE(2025,12,31))/365.25</ns0:f>
        <ns0:v>27.7453798767967</ns0:v>
      </ns0:c>
      <ns0:c r="F29" s="6">
        <ns0:f aca="0">C29*E29</ns0:f>
        <ns0:v>234920.131416838</ns0:v>
      </ns0:c>
    </ns0:row>
    <ns0:row r="30" ht="15" hidden="0">
      <ns0:c r="A30" s="4" t="s">
        <ns0:v>113</ns0:v>
      </ns0:c>
      <ns0:c r="B30" s="4"/>
      <ns0:c r="C30" s="6">
        <ns0:f aca="0">SUM(C2:C29)</ns0:f>
        <ns0:v>5623324</ns0:v>
      </ns0:c>
      <ns0:c r="D30" s="4"/>
      <ns0:c r="E30" s="4"/>
      <ns0:c r="F30" s="6">
        <ns0:f aca="0">SUM(F2:F29)</ns0:f>
        <ns0:v>107892092.476386</ns0:v>
      </ns0:c>
    </ns0:row>
    <ns0:row r="31" ht="41.75" hidden="0">
      <ns0:c r="A31" s="4" t="s">
        <ns0:v>114</ns0:v>
      </ns0:c>
      <ns0:c r="B31" s="4"/>
      <ns0:c r="C31" s="4"/>
      <ns0:c r="D31" s="4"/>
      <ns0:c r="E31" s="4"/>
      <ns0:c r="F31" s="9">
        <ns0:f aca="0">F30/C30</ns0:f>
        <ns0:v>19.1865331743976</ns0:v>
      </ns0:c>
    </ns0:row>
    <ns0:row r="32" ht="189.5500030517578" hidden="0">
      <ns0:c r="A32" s="4" t="s">
        <ns0:v>115</ns0:v>
      </ns0:c>
    </ns0:row>
  </ns0:sheetData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70" hidden="0" customWidth="1"/>
    <ns0:col min="2" max="2" width="16" hidden="0" customWidth="1"/>
    <ns0:col min="3" max="3" width="18" hidden="0" customWidth="1"/>
    <ns0:col min="4" max="4" width="10" hidden="0" customWidth="1"/>
    <ns0:col min="5" max="5" width="70" hidden="0" customWidth="1"/>
  </ns0:cols>
  <ns0:sheetData>
    <ns0:row r="1" ht="15" hidden="0" customHeight="1">
      <ns0:c r="A1" s="17" t="s">
        <ns0:v>116</ns0:v>
      </ns0:c>
      <ns0:c r="B1" s="17" t="s">
        <ns0:v>6</ns0:v>
      </ns0:c>
      <ns0:c r="C1" s="17" t="s">
        <ns0:v>117</ns0:v>
      </ns0:c>
      <ns0:c r="D1" s="22"/>
      <ns0:c r="E1" s="22"/>
    </ns0:row>
    <ns0:row r="2" ht="52.79999923706055" hidden="0" customHeight="1">
      <ns0:c r="A2" s="18" t="s">
        <ns0:v>118</ns0:v>
      </ns0:c>
      <ns0:c r="B2" s="23"/>
      <ns0:c r="C2" s="18" t="s">
        <ns0:v>119</ns0:v>
      </ns0:c>
      <ns0:c r="D2" s="22"/>
      <ns0:c r="E2" s="22"/>
    </ns0:row>
    <ns0:row r="3" ht="39.599998474121094" hidden="0" customHeight="1">
      <ns0:c r="A3" s="18" t="s">
        <ns0:v>120</ns0:v>
      </ns0:c>
      <ns0:c r="B3" s="20">
        <ns0:f aca="0">Dados_publicados!B10</ns0:f>
        <ns0:v>4008699</ns0:v>
      </ns0:c>
      <ns0:c r="C3" s="18" t="s">
        <ns0:v>121</ns0:v>
      </ns0:c>
      <ns0:c r="D3" s="22"/>
      <ns0:c r="E3" s="22"/>
    </ns0:row>
    <ns0:row r="4" ht="15" hidden="0" customHeight="1">
      <ns0:c r="A4" s="18" t="s">
        <ns0:v>122</ns0:v>
      </ns0:c>
      <ns0:c r="B4" s="24">
        <ns0:f aca="0">Dados_publicados!B12</ns0:f>
        <ns0:v>0.0446</ns0:v>
      </ns0:c>
      <ns0:c r="C4" s="18" t="s">
        <ns0:v>123</ns0:v>
      </ns0:c>
      <ns0:c r="D4" s="22"/>
      <ns0:c r="E4" s="22"/>
    </ns0:row>
    <ns0:row r="5" ht="15" hidden="0" customHeight="1">
      <ns0:c r="A5" s="18" t="s">
        <ns0:v>124</ns0:v>
      </ns0:c>
      <ns0:c r="B5" s="23">
        <ns0:f aca="0">Prazo!F31</ns0:f>
        <ns0:v>19.1865331743976</ns0:v>
      </ns0:c>
      <ns0:c r="C5" s="18" t="s">
        <ns0:v>125</ns0:v>
      </ns0:c>
      <ns0:c r="D5" s="22"/>
      <ns0:c r="E5" s="22"/>
    </ns0:row>
    <ns0:row r="6" ht="52.79999923706055" hidden="0" customHeight="1">
      <ns0:c r="A6" s="18" t="s">
        <ns0:v>126</ns0:v>
      </ns0:c>
      <ns0:c r="B6" s="25" t="n">
        <ns0:v>0.13109709517305</ns0:v>
      </ns0:c>
      <ns0:c r="C6" s="18" t="s">
        <ns0:v>127</ns0:v>
      </ns0:c>
      <ns0:c r="D6" s="22"/>
      <ns0:c r="E6" s="22"/>
    </ns0:row>
    <ns0:row r="7" ht="15" hidden="0" customHeight="1">
      <ns0:c r="A7" s="18" t="s">
        <ns0:v>128</ns0:v>
      </ns0:c>
      <ns0:c r="B7" s="20">
        <ns0:f aca="0">B3*(1-((1+B4)/(1+B6))^B5)/(B6-B4)</ns0:f>
        <ns0:v>36273034.9998864</ns0:v>
      </ns0:c>
      <ns0:c r="C7" s="18"/>
      <ns0:c r="D7" s="22"/>
      <ns0:c r="E7" s="22"/>
    </ns0:row>
    <ns0:row r="8" ht="15" hidden="0" customHeight="1">
      <ns0:c r="A8" s="18" t="s">
        <ns0:v>129</ns0:v>
      </ns0:c>
      <ns0:c r="B8" s="20">
        <ns0:f aca="0">Dados_publicados!B2</ns0:f>
        <ns0:v>36273035</ns0:v>
      </ns0:c>
      <ns0:c r="C8" s="18" t="s">
        <ns0:v>11</ns0:v>
      </ns0:c>
      <ns0:c r="D8" s="22"/>
      <ns0:c r="E8" s="22"/>
    </ns0:row>
    <ns0:row r="9" ht="15" hidden="0" customHeight="1">
      <ns0:c r="A9" s="18" t="s">
        <ns0:v>130</ns0:v>
      </ns0:c>
      <ns0:c r="B9" s="20">
        <ns0:f aca="0">B7-B8</ns0:f>
        <ns0:v>-0.000113606452941895</ns0:v>
      </ns0:c>
      <ns0:c r="C9" s="18"/>
      <ns0:c r="D9" s="22"/>
      <ns0:c r="E9" s="22"/>
    </ns0:row>
    <ns0:row r="10" ht="52.79999923706055" hidden="0" customHeight="1">
      <ns0:c r="A10" s="18" t="s">
        <ns0:v>131</ns0:v>
      </ns0:c>
      <ns0:c r="B10" s="24">
        <ns0:f aca="0">(1+B6)/(1+B4)-1</ns0:f>
        <ns0:v>0.0828040352029964</ns0:v>
      </ns0:c>
      <ns0:c r="C10" s="18" t="s">
        <ns0:v>132</ns0:v>
      </ns0:c>
      <ns0:c r="D10" s="22"/>
      <ns0:c r="E10" s="22"/>
    </ns0:row>
    <ns0:row r="11" ht="39.599998474121094" hidden="0" customHeight="1">
      <ns0:c r="A11" s="18" t="s">
        <ns0:v>133</ns0:v>
      </ns0:c>
      <ns0:c r="B11" s="23" t="str">
        <ns0:f aca="0">IF(AND(B10&gt;=0.042,B10&lt;=0.099),"SIM","NÃO")</ns0:f>
        <ns0:v>SIM</ns0:v>
      </ns0:c>
      <ns0:c r="C11" s="18" t="s">
        <ns0:v>134</ns0:v>
      </ns0:c>
      <ns0:c r="D11" s="22"/>
      <ns0:c r="E11" s="22"/>
    </ns0:row>
    <ns0:row r="12" ht="15" hidden="0" customHeight="1">
      <ns0:c r="A12" s="22"/>
      <ns0:c r="B12" s="22"/>
      <ns0:c r="C12" s="22"/>
      <ns0:c r="D12" s="22"/>
      <ns0:c r="E12" s="22"/>
    </ns0:row>
    <ns0:row r="13" ht="26.399999618530273" hidden="0" customHeight="1">
      <ns0:c r="A13" s="26" t="s">
        <ns0:v>135</ns0:v>
      </ns0:c>
      <ns0:c r="B13" s="26" t="s">
        <ns0:v>136</ns0:v>
      </ns0:c>
      <ns0:c r="C13" s="26" t="s">
        <ns0:v>137</ns0:v>
      </ns0:c>
      <ns0:c r="D13" s="26" t="s">
        <ns0:v>138</ns0:v>
      </ns0:c>
      <ns0:c r="E13" s="26" t="s">
        <ns0:v>139</ns0:v>
      </ns0:c>
    </ns0:row>
    <ns0:row r="14" ht="15" hidden="0" customHeight="1">
      <ns0:c r="A14" s="18" t="s">
        <ns0:v>140</ns0:v>
      </ns0:c>
      <ns0:c r="B14" s="20">
        <ns0:f aca="0">$B$3*(1-((1+$B$4)/(1+$B$6+0.005))^$B$5)/($B$6+0.005-$B$4)</ns0:f>
        <ns0:v>35063458.3603757</ns0:v>
      </ns0:c>
      <ns0:c r="C14" s="20">
        <ns0:f aca="0">B14-$B$8</ns0:f>
        <ns0:v>-1209576.63962428</ns0:v>
      </ns0:c>
      <ns0:c r="D14" s="27">
        <ns0:f aca="0">C14/90000</ns0:f>
        <ns0:v>-13.4397404402698</ns0:v>
      </ns0:c>
      <ns0:c r="E14" s="18" t="s">
        <ns0:v>141</ns0:v>
      </ns0:c>
    </ns0:row>
    <ns0:row r="15" ht="15" hidden="0" customHeight="1">
      <ns0:c r="A15" s="18" t="s">
        <ns0:v>142</ns0:v>
      </ns0:c>
      <ns0:c r="B15" s="20">
        <ns0:f aca="0">$B$3*(1-((1+$B$4)/(1+$B$6-0.005))^$B$5)/($B$6-0.005-$B$4)</ns0:f>
        <ns0:v>37550065.7267461</ns0:v>
      </ns0:c>
      <ns0:c r="C15" s="20">
        <ns0:f aca="0">B15-$B$8</ns0:f>
        <ns0:v>1277030.72674612</ns0:v>
      </ns0:c>
      <ns0:c r="D15" s="27">
        <ns0:f aca="0">C15/90000</ns0:f>
        <ns0:v>14.1892302971791</ns0:v>
      </ns0:c>
      <ns0:c r="E15" s="18" t="s">
        <ns0:v>143</ns0:v>
      </ns0:c>
    </ns0:row>
    <ns0:row r="16" ht="15" hidden="0" customHeight="1">
      <ns0:c r="A16" s="18" t="s">
        <ns0:v>144</ns0:v>
      </ns0:c>
      <ns0:c r="B16" s="20">
        <ns0:f aca="0">$B$3*(1-((1+$B$4)/(1+$B$6+0.01))^$B$5)/($B$6+0.01-$B$4)</ns0:f>
        <ns0:v>33916951.3250784</ns0:v>
      </ns0:c>
      <ns0:c r="C16" s="20">
        <ns0:f aca="0">B16-$B$8</ns0:f>
        <ns0:v>-2356083.67492157</ns0:v>
      </ns0:c>
      <ns0:c r="D16" s="27">
        <ns0:f aca="0">C16/90000</ns0:f>
        <ns0:v>-26.1787074991286</ns0:v>
      </ns0:c>
      <ns0:c r="E16" s="18" t="s">
        <ns0:v>143</ns0:v>
      </ns0:c>
    </ns0:row>
    <ns0:row r="17" ht="15" hidden="0" customHeight="1">
      <ns0:c r="A17" s="18" t="s">
        <ns0:v>145</ns0:v>
      </ns0:c>
      <ns0:c r="B17" s="20">
        <ns0:f aca="0">$B$3*(1-((1+$B$4)/(1+$B$6-0.01))^$B$5)/($B$6-0.01-$B$4)</ns0:f>
        <ns0:v>38899288.2017139</ns0:v>
      </ns0:c>
      <ns0:c r="C17" s="20">
        <ns0:f aca="0">B17-$B$8</ns0:f>
        <ns0:v>2626253.20171393</ns0:v>
      </ns0:c>
      <ns0:c r="D17" s="27">
        <ns0:f aca="0">C17/90000</ns0:f>
        <ns0:v>29.1805911301548</ns0:v>
      </ns0:c>
      <ns0:c r="E17" s="18" t="s">
        <ns0:v>143</ns0:v>
      </ns0:c>
    </ns0:row>
    <ns0:row r="18" ht="26.399999618530273" hidden="0" customHeight="1">
      <ns0:c r="A18" s="18" t="s">
        <ns0:v>146</ns0:v>
      </ns0:c>
      <ns0:c r="B18" s="20">
        <ns0:f aca="0">$B$3*(1-((1+Dados_publicados!$B$13)/(1+$B$6))^$B$5)/($B$6-Dados_publicados!$B$13)</ns0:f>
        <ns0:v>35808676.3731827</ns0:v>
      </ns0:c>
      <ns0:c r="C18" s="20">
        <ns0:f aca="0">B18-$B$8</ns0:f>
        <ns0:v>-464358.626817264</ns0:v>
      </ns0:c>
      <ns0:c r="D18" s="27">
        <ns0:f aca="0">C18/90000</ns0:f>
        <ns0:v>-5.1595402979696</ns0:v>
      </ns0:c>
      <ns0:c r="E18" s="18" t="str">
        <ns0:v>Diferença de janela do índice (IBGE WEB-B09-005 × WEB-B09-006); confirmação adicional B12: F0348 p.12 (4,26%) e F0349 p.8 (4,46%)</ns0:v>
      </ns0:c>
    </ns0:row>
    <ns0:row r="19" ht="26.399999618530273" hidden="0" customHeight="1">
      <ns0:c r="A19" s="18" t="s">
        <ns0:v>147</ns0:v>
      </ns0:c>
      <ns0:c r="B19" s="20">
        <ns0:f aca="0">0.975*$B$7</ns0:f>
        <ns0:v>35366209.1248892</ns0:v>
      </ns0:c>
      <ns0:c r="C19" s="20">
        <ns0:f aca="0">B19-$B$8</ns0:f>
        <ns0:v>-906825.875110768</ns0:v>
      </ns0:c>
      <ns0:c r="D19" s="27">
        <ns0:f aca="0">C19/90000</ns0:f>
        <ns0:v>-10.0758430567863</ns0:v>
      </ns0:c>
      <ns0:c r="E19" s="18" t="s">
        <ns0:v>148</ns0:v>
      </ns0:c>
    </ns0:row>
    <ns0:row r="20" ht="15" hidden="0" customHeight="1">
      <ns0:c r="A20" s="18" t="s">
        <ns0:v>149</ns0:v>
      </ns0:c>
      <ns0:c r="B20" s="20">
        <ns0:f aca="0">$B$3*(1-((1+$B$4)/(1+$B$6))^($B$5-2))/($B$6-$B$4)</ns0:f>
        <ns0:v>34535995.4971897</ns0:v>
      </ns0:c>
      <ns0:c r="C20" s="20">
        <ns0:f aca="0">B20-$B$8</ns0:f>
        <ns0:v>-1737039.50281026</ns0:v>
      </ns0:c>
      <ns0:c r="D20" s="27">
        <ns0:f aca="0">C20/90000</ns0:f>
        <ns0:v>-19.300438920114</ns0:v>
      </ns0:c>
      <ns0:c r="E20" s="18" t="s">
        <ns0:v>150</ns0:v>
      </ns0:c>
    </ns0:row>
  </ns0:sheetData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70" hidden="0" customWidth="1"/>
    <ns0:col min="2" max="2" width="16" hidden="0" customWidth="1"/>
    <ns0:col min="3" max="3" width="70" hidden="0" customWidth="1"/>
  </ns0:cols>
  <ns0:sheetData>
    <ns0:row r="1" ht="15" hidden="0">
      <ns0:c r="A1" s="3" t="s">
        <ns0:v>116</ns0:v>
      </ns0:c>
      <ns0:c r="B1" s="3" t="s">
        <ns0:v>6</ns0:v>
      </ns0:c>
      <ns0:c r="C1" s="3" t="s">
        <ns0:v>151</ns0:v>
      </ns0:c>
    </ns0:row>
    <ns0:row r="2" ht="15" hidden="0">
      <ns0:c r="A2" s="4" t="s">
        <ns0:v>152</ns0:v>
      </ns0:c>
      <ns0:c r="B2" s="6">
        <ns0:f aca="0">2949237+898790</ns0:f>
        <ns0:v>3848027</ns0:v>
      </ns0:c>
      <ns0:c r="C2" s="4" t="s">
        <ns0:v>153</ns0:v>
      </ns0:c>
    </ns0:row>
    <ns0:row r="3" ht="15" hidden="0">
      <ns0:c r="A3" s="4" t="s">
        <ns0:v>154</ns0:v>
      </ns0:c>
      <ns0:c r="B3" s="6">
        <ns0:f aca="0">AVERAGE(30853759,36273035)</ns0:f>
        <ns0:v>33563397</ns0:v>
      </ns0:c>
      <ns0:c r="C3" s="4" t="s">
        <ns0:v>11</ns0:v>
      </ns0:c>
    </ns0:row>
    <ns0:row r="4" ht="15" hidden="0">
      <ns0:c r="A4" s="4" t="s">
        <ns0:v>155</ns0:v>
      </ns0:c>
      <ns0:c r="B4" s="14">
        <ns0:f aca="0">B2/B3</ns0:f>
        <ns0:v>0.114649509404546</ns0:v>
      </ns0:c>
      <ns0:c r="C4" s="4" t="s">
        <ns0:v>156</ns0:v>
      </ns0:c>
    </ns0:row>
    <ns0:row r="5" ht="15" hidden="0">
      <ns0:c r="A5" s="4" t="s">
        <ns0:v>157</ns0:v>
      </ns0:c>
      <ns0:c r="B5" s="6">
        <ns0:f aca="0">0.005*B3</ns0:f>
        <ns0:v>167816.985</ns0:v>
      </ns0:c>
      <ns0:c r="C5" s="4" t="s">
        <ns0:v>158</ns0:v>
      </ns0:c>
    </ns0:row>
    <ns0:row r="6" ht="15" hidden="0">
      <ns0:c r="A6" s="4" t="s">
        <ns0:v>159</ns0:v>
      </ns0:c>
      <ns0:c r="B6" s="6">
        <ns0:f aca="0">(0.0446-0.0426)*B3</ns0:f>
        <ns0:v>67126.7940000001</ns0:v>
      </ns0:c>
      <ns0:c r="C6" s="4" t="s">
        <ns0:v>160</ns0:v>
      </ns0:c>
    </ns0:row>
    <ns0:row r="7" ht="15" hidden="0">
      <ns0:c r="A7" s="4" t="s">
        <ns0:v>161</ns0:v>
      </ns0:c>
      <ns0:c r="B7" s="6">
        <ns0:f aca="0">-898790/90000</ns0:f>
        <ns0:v>-9.98655555555556</ns0:v>
      </ns0:c>
      <ns0:c r="C7" s="4" t="s">
        <ns0:v>162</ns0:v>
      </ns0:c>
    </ns0:row>
  </ns0:sheetData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52" hidden="0" customWidth="1"/>
    <ns0:col min="2" max="3" width="14" hidden="0" customWidth="1"/>
    <ns0:col min="4" max="4" width="22" hidden="0" customWidth="1"/>
    <ns0:col min="5" max="5" width="70" hidden="0" customWidth="1"/>
  </ns0:cols>
  <ns0:sheetData>
    <ns0:row r="1" ht="15" hidden="0">
      <ns0:c r="A1" s="3" t="s">
        <ns0:v>163</ns0:v>
      </ns0:c>
      <ns0:c r="B1" s="3" t="s">
        <ns0:v>164</ns0:v>
      </ns0:c>
      <ns0:c r="C1" s="3" t="s">
        <ns0:v>165</ns0:v>
      </ns0:c>
      <ns0:c r="D1" s="3" t="s">
        <ns0:v>166</ns0:v>
      </ns0:c>
      <ns0:c r="E1" s="3" t="s">
        <ns0:v>167</ns0:v>
      </ns0:c>
    </ns0:row>
    <ns0:row r="2" ht="28.350000381469727" hidden="0">
      <ns0:c r="A2" s="4" t="s">
        <ns0:v>168</ns0:v>
      </ns0:c>
      <ns0:c r="B2" s="5" t="n">
        <ns0:v>-10513</ns0:v>
      </ns0:c>
      <ns0:c r="C2" s="5" t="n">
        <ns0:v>98780</ns0:v>
      </ns0:c>
      <ns0:c r="D2" s="4" t="s">
        <ns0:v>18</ns0:v>
      </ns0:c>
      <ns0:c r="E2" s="4" t="s">
        <ns0:v>169</ns0:v>
      </ns0:c>
    </ns0:row>
    <ns0:row r="3" ht="15" hidden="0">
      <ns0:c r="A3" s="4" t="s">
        <ns0:v>170</ns0:v>
      </ns0:c>
      <ns0:c r="B3" s="14">
        <ns0:f aca="0">B2/6330048</ns0:f>
        <ns0:v>-0.0016608088911806</ns0:v>
      </ns0:c>
      <ns0:c r="C3" s="14">
        <ns0:f aca="0">C2/4461867</ns0:f>
        <ns0:v>0.0221387145784489</ns0:v>
      </ns0:c>
      <ns0:c r="D3" s="4"/>
      <ns0:c r="E3" s="4"/>
    </ns0:row>
    <ns0:row r="4" ht="15" hidden="0">
      <ns0:c r="A4" s="4" t="s">
        <ns0:v>171</ns0:v>
      </ns0:c>
      <ns0:c r="B4" s="5" t="n">
        <ns0:v>159203</ns0:v>
      </ns0:c>
      <ns0:c r="C4" s="5" t="n">
        <ns0:v>1313723</ns0:v>
      </ns0:c>
      <ns0:c r="D4" s="4" t="s">
        <ns0:v>22</ns0:v>
      </ns0:c>
      <ns0:c r="E4" s="4" t="s">
        <ns0:v>172</ns0:v>
      </ns0:c>
    </ns0:row>
    <ns0:row r="5" ht="28.350000381469727" hidden="0">
      <ns0:c r="A5" s="4" t="s">
        <ns0:v>173</ns0:v>
      </ns0:c>
      <ns0:c r="B5" s="5" t="n">
        <ns0:v>-898790</ns0:v>
      </ns0:c>
      <ns0:c r="C5" s="5"/>
      <ns0:c r="D5" s="4" t="s">
        <ns0:v>174</ns0:v>
      </ns0:c>
      <ns0:c r="E5" s="4" t="s">
        <ns0:v>175</ns0:v>
      </ns0:c>
    </ns0:row>
    <ns0:row r="6" ht="15" hidden="0">
      <ns0:c r="A6" s="4" t="s">
        <ns0:v>176</ns0:v>
      </ns0:c>
      <ns0:c r="B6" s="7" t="n">
        <ns0:v>0.1955</ns0:v>
      </ns0:c>
      <ns0:c r="C6" s="7" t="n">
        <ns0:v>0.1854</ns0:v>
      </ns0:c>
      <ns0:c r="D6" s="4" t="s">
        <ns0:v>177</ns0:v>
      </ns0:c>
      <ns0:c r="E6" s="4" t="s">
        <ns0:v>178</ns0:v>
      </ns0:c>
    </ns0:row>
    <ns0:row r="7" ht="41.75" hidden="0">
      <ns0:c r="A7" s="4" t="s">
        <ns0:v>179</ns0:v>
      </ns0:c>
      <ns0:c r="B7" s="5" t="n">
        <ns0:v>2966130</ns0:v>
      </ns0:c>
      <ns0:c r="C7" s="5" t="n">
        <ns0:v>2493513</ns0:v>
      </ns0:c>
      <ns0:c r="D7" s="4" t="s">
        <ns0:v>180</ns0:v>
      </ns0:c>
      <ns0:c r="E7" s="4" t="s">
        <ns0:v>181</ns0:v>
      </ns0:c>
    </ns0:row>
  </ns0:sheetData>
  <ns0:pageMargins left="0.7" right="0.7" top="0.75" bottom="0.75" header="0.3" footer="0.3"/>
</ns0:worksheet>
</file>