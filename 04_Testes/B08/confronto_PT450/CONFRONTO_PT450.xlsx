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ro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<sst xmlns="http://schemas.openxmlformats.org/spreadsheetml/2006/main" count="60" uniqueCount="51">
  <si>
    <t xml:space="preserve">Confronto testes × gabarito lacrado – base SINTÉTICA – desempenho DIDÁTICO; não é conclusão sobre a ISA Energia Brasil; mesma IA desenhou erros e testes (não é experimento cego)</t>
  </si>
  <si>
    <t xml:space="preserve">Erro</t>
  </si>
  <si>
    <t xml:space="preserve">Tipo</t>
  </si>
  <si>
    <t xml:space="preserve">Linhas inseridas</t>
  </si>
  <si>
    <t xml:space="preserve">Linhas sinalizadas</t>
  </si>
  <si>
    <t xml:space="preserve">Linhas com distorção atribuída</t>
  </si>
  <si>
    <t xml:space="preserve">Testes</t>
  </si>
  <si>
    <t xml:space="preserve">Efeito saldo inserido (R$)</t>
  </si>
  <si>
    <t xml:space="preserve">Efeito saldo detectado (R$)</t>
  </si>
  <si>
    <t xml:space="preserve">Diferença (R$)</t>
  </si>
  <si>
    <t xml:space="preserve">Efeito resultado inserido (R$)</t>
  </si>
  <si>
    <t xml:space="preserve">Efeito resultado detectado (R$)</t>
  </si>
  <si>
    <t xml:space="preserve">Situação</t>
  </si>
  <si>
    <t xml:space="preserve">Detectado? (1/0)</t>
  </si>
  <si>
    <t xml:space="preserve">E01</t>
  </si>
  <si>
    <t xml:space="preserve">Corte (exercício anterior)</t>
  </si>
  <si>
    <t xml:space="preserve">TD-01 R5</t>
  </si>
  <si>
    <t xml:space="preserve">Detectado</t>
  </si>
  <si>
    <t xml:space="preserve">E02</t>
  </si>
  <si>
    <t xml:space="preserve">Corte (exercício seguinte)</t>
  </si>
  <si>
    <t xml:space="preserve">TD-03 CORTE-2026</t>
  </si>
  <si>
    <t xml:space="preserve">E03</t>
  </si>
  <si>
    <t xml:space="preserve">Duplicidade</t>
  </si>
  <si>
    <t xml:space="preserve">TD-01 R1</t>
  </si>
  <si>
    <t xml:space="preserve">E04</t>
  </si>
  <si>
    <t xml:space="preserve">Digitação</t>
  </si>
  <si>
    <t xml:space="preserve">TD-01 R2</t>
  </si>
  <si>
    <t xml:space="preserve">E05</t>
  </si>
  <si>
    <t xml:space="preserve">Lançamento manual sem suporte</t>
  </si>
  <si>
    <t xml:space="preserve">TD-01 R6; TD-02 JE</t>
  </si>
  <si>
    <t xml:space="preserve">E06</t>
  </si>
  <si>
    <t xml:space="preserve">Estimativa</t>
  </si>
  <si>
    <t xml:space="preserve">TD-05 REM</t>
  </si>
  <si>
    <t xml:space="preserve">E07</t>
  </si>
  <si>
    <t xml:space="preserve">Classificação / ocorrência</t>
  </si>
  <si>
    <t xml:space="preserve">TD-01 R4</t>
  </si>
  <si>
    <t xml:space="preserve">E08</t>
  </si>
  <si>
    <t xml:space="preserve">Classificação</t>
  </si>
  <si>
    <t xml:space="preserve">TD-04 CONTRATO</t>
  </si>
  <si>
    <t xml:space="preserve">E09</t>
  </si>
  <si>
    <t xml:space="preserve">—</t>
  </si>
  <si>
    <t xml:space="preserve">NÃO detectado</t>
  </si>
  <si>
    <t xml:space="preserve">E10</t>
  </si>
  <si>
    <t xml:space="preserve">Apresentação</t>
  </si>
  <si>
    <t xml:space="preserve">NÃO detectado (regra TD-06 não sinalizou)</t>
  </si>
  <si>
    <t xml:space="preserve">Totais</t>
  </si>
  <si>
    <t xml:space="preserve">Tipos de erro detectados / inseridos</t>
  </si>
  <si>
    <t xml:space="preserve">Linhas sinalizadas / inseridas</t>
  </si>
  <si>
    <t xml:space="preserve">Efeito no saldo detectado / inserido</t>
  </si>
  <si>
    <t xml:space="preserve">Falsos positivos com distorção atribuída (linhas)</t>
  </si>
  <si>
    <t xml:space="preserve">Exceções examinadas sem erro: 35 primeiras ocorrências de documentos repetidos (corretamente sem distorção) e 1 sinal TD-06 (059/2001 SE_FIN) explicado por evidência pública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</si>
</sst>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8" min="7" style="0" width="18"/>
    <col collapsed="false" customWidth="true" hidden="false" outlineLevel="0" max="9" min="9" style="0" width="12"/>
    <col collapsed="false" customWidth="true" hidden="false" outlineLevel="0" max="11" min="10" style="0" width="18"/>
    <col collapsed="false" customWidth="true" hidden="false" outlineLevel="0" max="12" min="12" style="0" width="36"/>
    <col collapsed="false" customWidth="true" hidden="false" outlineLevel="0" max="13" min="13" style="0" width="10"/>
  </cols>
  <sheetData>
    <row r="1" customFormat="false" ht="15" hidden="false" customHeight="false" outlineLevel="0" collapsed="false">
      <c r="A1" s="1" t="s">
        <v>0</v>
      </c>
    </row>
    <row r="3" customFormat="false" ht="41.7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150</v>
      </c>
      <c r="D4" s="0" t="n">
        <v>150</v>
      </c>
      <c r="E4" s="0" t="n">
        <v>150</v>
      </c>
      <c r="F4" s="0" t="s">
        <v>16</v>
      </c>
      <c r="G4" s="0" t="n">
        <v>0</v>
      </c>
      <c r="H4" s="0" t="n">
        <v>0</v>
      </c>
      <c r="I4" s="0" t="n">
        <f aca="false">ROUND(H4-G4,2)</f>
        <v>0</v>
      </c>
      <c r="J4" s="0" t="n">
        <v>3527521.14</v>
      </c>
      <c r="K4" s="0" t="n">
        <v>3527521.14</v>
      </c>
      <c r="L4" s="0" t="s">
        <v>17</v>
      </c>
      <c r="M4" s="0" t="n">
        <f aca="false">IF(LEFT(L4,9)="Detectado",1,0)</f>
        <v>1</v>
      </c>
    </row>
    <row r="5" customFormat="false" ht="15" hidden="false" customHeight="false" outlineLevel="0" collapsed="false">
      <c r="A5" s="0" t="s">
        <v>18</v>
      </c>
      <c r="B5" s="0" t="s">
        <v>19</v>
      </c>
      <c r="C5" s="0" t="n">
        <v>273</v>
      </c>
      <c r="D5" s="0" t="n">
        <v>273</v>
      </c>
      <c r="E5" s="0" t="n">
        <v>273</v>
      </c>
      <c r="F5" s="0" t="s">
        <v>20</v>
      </c>
      <c r="G5" s="0" t="n">
        <v>-7201518.28</v>
      </c>
      <c r="H5" s="0" t="n">
        <v>-7201518.28</v>
      </c>
      <c r="I5" s="0" t="n">
        <f aca="false">ROUND(H5-G5,2)</f>
        <v>0</v>
      </c>
      <c r="J5" s="0" t="n">
        <v>-7201518.28</v>
      </c>
      <c r="K5" s="0" t="n">
        <v>-7201518.28</v>
      </c>
      <c r="L5" s="0" t="s">
        <v>17</v>
      </c>
      <c r="M5" s="0" t="n">
        <f aca="false">IF(LEFT(L5,9)="Detectado",1,0)</f>
        <v>1</v>
      </c>
    </row>
    <row r="6" customFormat="false" ht="15" hidden="false" customHeight="false" outlineLevel="0" collapsed="false">
      <c r="A6" s="0" t="s">
        <v>21</v>
      </c>
      <c r="B6" s="0" t="s">
        <v>22</v>
      </c>
      <c r="C6" s="0" t="n">
        <v>35</v>
      </c>
      <c r="D6" s="0" t="n">
        <v>35</v>
      </c>
      <c r="E6" s="0" t="n">
        <v>35</v>
      </c>
      <c r="F6" s="0" t="s">
        <v>23</v>
      </c>
      <c r="G6" s="0" t="n">
        <v>4893510.12</v>
      </c>
      <c r="H6" s="0" t="n">
        <v>4893510.12</v>
      </c>
      <c r="I6" s="0" t="n">
        <f aca="false">ROUND(H6-G6,2)</f>
        <v>0</v>
      </c>
      <c r="J6" s="0" t="n">
        <v>4893510.12</v>
      </c>
      <c r="K6" s="0" t="n">
        <v>4893510.12</v>
      </c>
      <c r="L6" s="0" t="s">
        <v>17</v>
      </c>
      <c r="M6" s="0" t="n">
        <f aca="false">IF(LEFT(L6,9)="Detectado",1,0)</f>
        <v>1</v>
      </c>
    </row>
    <row r="7" customFormat="false" ht="15" hidden="false" customHeight="false" outlineLevel="0" collapsed="false">
      <c r="A7" s="0" t="s">
        <v>24</v>
      </c>
      <c r="B7" s="0" t="s">
        <v>25</v>
      </c>
      <c r="C7" s="0" t="n">
        <v>20</v>
      </c>
      <c r="D7" s="0" t="n">
        <v>20</v>
      </c>
      <c r="E7" s="0" t="n">
        <v>20</v>
      </c>
      <c r="F7" s="0" t="s">
        <v>26</v>
      </c>
      <c r="G7" s="0" t="n">
        <v>7716140.91</v>
      </c>
      <c r="H7" s="0" t="n">
        <v>7716140.92</v>
      </c>
      <c r="I7" s="0" t="n">
        <f aca="false">ROUND(H7-G7,2)</f>
        <v>0.01</v>
      </c>
      <c r="J7" s="0" t="n">
        <v>7716140.91</v>
      </c>
      <c r="K7" s="0" t="n">
        <v>7716140.92</v>
      </c>
      <c r="L7" s="0" t="s">
        <v>17</v>
      </c>
      <c r="M7" s="0" t="n">
        <f aca="false">IF(LEFT(L7,9)="Detectado",1,0)</f>
        <v>1</v>
      </c>
    </row>
    <row r="8" customFormat="false" ht="15" hidden="false" customHeight="false" outlineLevel="0" collapsed="false">
      <c r="A8" s="0" t="s">
        <v>27</v>
      </c>
      <c r="B8" s="0" t="s">
        <v>28</v>
      </c>
      <c r="C8" s="0" t="n">
        <v>2</v>
      </c>
      <c r="D8" s="0" t="n">
        <v>2</v>
      </c>
      <c r="E8" s="0" t="n">
        <v>2</v>
      </c>
      <c r="F8" s="0" t="s">
        <v>29</v>
      </c>
      <c r="G8" s="0" t="n">
        <v>15500000</v>
      </c>
      <c r="H8" s="0" t="n">
        <v>15500000</v>
      </c>
      <c r="I8" s="0" t="n">
        <f aca="false">ROUND(H8-G8,2)</f>
        <v>0</v>
      </c>
      <c r="J8" s="0" t="n">
        <v>15500000</v>
      </c>
      <c r="K8" s="0" t="n">
        <v>15500000</v>
      </c>
      <c r="L8" s="0" t="s">
        <v>17</v>
      </c>
      <c r="M8" s="0" t="n">
        <f aca="false">IF(LEFT(L8,9)="Detectado",1,0)</f>
        <v>1</v>
      </c>
    </row>
    <row r="9" customFormat="false" ht="15" hidden="false" customHeight="false" outlineLevel="0" collapsed="false">
      <c r="A9" s="0" t="s">
        <v>30</v>
      </c>
      <c r="B9" s="0" t="s">
        <v>31</v>
      </c>
      <c r="C9" s="0" t="n">
        <v>3</v>
      </c>
      <c r="D9" s="0" t="n">
        <v>3</v>
      </c>
      <c r="E9" s="0" t="n">
        <v>3</v>
      </c>
      <c r="F9" s="0" t="s">
        <v>32</v>
      </c>
      <c r="G9" s="0" t="n">
        <v>5017651.69</v>
      </c>
      <c r="H9" s="0" t="n">
        <v>5017651.72</v>
      </c>
      <c r="I9" s="0" t="n">
        <f aca="false">ROUND(H9-G9,2)</f>
        <v>0.03</v>
      </c>
      <c r="J9" s="0" t="n">
        <v>5017651.69</v>
      </c>
      <c r="K9" s="0" t="n">
        <v>5017651.72</v>
      </c>
      <c r="L9" s="0" t="s">
        <v>17</v>
      </c>
      <c r="M9" s="0" t="n">
        <f aca="false">IF(LEFT(L9,9)="Detectado",1,0)</f>
        <v>1</v>
      </c>
    </row>
    <row r="10" customFormat="false" ht="15" hidden="false" customHeight="false" outlineLevel="0" collapsed="false">
      <c r="A10" s="0" t="s">
        <v>33</v>
      </c>
      <c r="B10" s="0" t="s">
        <v>34</v>
      </c>
      <c r="C10" s="0" t="n">
        <v>60</v>
      </c>
      <c r="D10" s="0" t="n">
        <v>60</v>
      </c>
      <c r="E10" s="0" t="n">
        <v>60</v>
      </c>
      <c r="F10" s="0" t="s">
        <v>35</v>
      </c>
      <c r="G10" s="0" t="n">
        <v>4600000</v>
      </c>
      <c r="H10" s="0" t="n">
        <v>4600000</v>
      </c>
      <c r="I10" s="0" t="n">
        <f aca="false">ROUND(H10-G10,2)</f>
        <v>0</v>
      </c>
      <c r="J10" s="0" t="n">
        <v>4600000</v>
      </c>
      <c r="K10" s="0" t="n">
        <v>4600000</v>
      </c>
      <c r="L10" s="0" t="s">
        <v>17</v>
      </c>
      <c r="M10" s="0" t="n">
        <f aca="false">IF(LEFT(L10,9)="Detectado",1,0)</f>
        <v>1</v>
      </c>
    </row>
    <row r="11" customFormat="false" ht="15" hidden="false" customHeight="false" outlineLevel="0" collapsed="false">
      <c r="A11" s="0" t="s">
        <v>36</v>
      </c>
      <c r="B11" s="0" t="s">
        <v>37</v>
      </c>
      <c r="C11" s="0" t="n">
        <v>8</v>
      </c>
      <c r="D11" s="0" t="n">
        <v>8</v>
      </c>
      <c r="E11" s="0" t="n">
        <v>0</v>
      </c>
      <c r="F11" s="0" t="s">
        <v>38</v>
      </c>
      <c r="G11" s="0" t="n">
        <v>0</v>
      </c>
      <c r="H11" s="0" t="n">
        <v>0</v>
      </c>
      <c r="I11" s="0" t="n">
        <f aca="false">ROUND(H11-G11,2)</f>
        <v>0</v>
      </c>
      <c r="J11" s="0" t="n">
        <v>0</v>
      </c>
      <c r="K11" s="0" t="n">
        <v>0</v>
      </c>
      <c r="L11" s="0" t="s">
        <v>17</v>
      </c>
      <c r="M11" s="0" t="n">
        <f aca="false">IF(LEFT(L11,9)="Detectado",1,0)</f>
        <v>1</v>
      </c>
    </row>
    <row r="12" customFormat="false" ht="15" hidden="false" customHeight="false" outlineLevel="0" collapsed="false">
      <c r="A12" s="0" t="s">
        <v>39</v>
      </c>
      <c r="B12" s="0" t="s">
        <v>31</v>
      </c>
      <c r="C12" s="0" t="n">
        <v>1</v>
      </c>
      <c r="D12" s="0" t="n">
        <v>0</v>
      </c>
      <c r="E12" s="0" t="n">
        <v>0</v>
      </c>
      <c r="F12" s="0" t="s">
        <v>40</v>
      </c>
      <c r="G12" s="0" t="n">
        <v>1200000</v>
      </c>
      <c r="H12" s="0" t="n">
        <v>0</v>
      </c>
      <c r="I12" s="0" t="n">
        <f aca="false">ROUND(H12-G12,2)</f>
        <v>-1200000</v>
      </c>
      <c r="J12" s="0" t="n">
        <v>1200000</v>
      </c>
      <c r="K12" s="0" t="n">
        <v>0</v>
      </c>
      <c r="L12" s="0" t="s">
        <v>41</v>
      </c>
      <c r="M12" s="0" t="n">
        <f aca="false">IF(LEFT(L12,9)="Detectado",1,0)</f>
        <v>0</v>
      </c>
    </row>
    <row r="13" customFormat="false" ht="15" hidden="false" customHeight="false" outlineLevel="0" collapsed="false">
      <c r="A13" s="0" t="s">
        <v>42</v>
      </c>
      <c r="B13" s="0" t="s">
        <v>43</v>
      </c>
      <c r="C13" s="0" t="n">
        <v>1</v>
      </c>
      <c r="D13" s="0" t="n">
        <v>0</v>
      </c>
      <c r="E13" s="0" t="n">
        <v>0</v>
      </c>
      <c r="F13" s="0" t="s">
        <v>40</v>
      </c>
      <c r="G13" s="0" t="n">
        <v>0</v>
      </c>
      <c r="H13" s="0" t="n">
        <v>0</v>
      </c>
      <c r="I13" s="0" t="n">
        <f aca="false">ROUND(H13-G13,2)</f>
        <v>0</v>
      </c>
      <c r="J13" s="0" t="n">
        <v>0</v>
      </c>
      <c r="K13" s="0" t="n">
        <v>0</v>
      </c>
      <c r="L13" s="0" t="s">
        <v>44</v>
      </c>
      <c r="M13" s="0" t="n">
        <f aca="false">IF(LEFT(L13,9)="Detectado",1,0)</f>
        <v>0</v>
      </c>
    </row>
    <row r="14" customFormat="false" ht="15" hidden="false" customHeight="false" outlineLevel="0" collapsed="false">
      <c r="A14" s="1" t="s">
        <v>45</v>
      </c>
      <c r="C14" s="3" t="n">
        <f aca="false">SUM(C4:C13)</f>
        <v>553</v>
      </c>
      <c r="D14" s="3" t="n">
        <f aca="false">SUM(D4:D13)</f>
        <v>551</v>
      </c>
      <c r="E14" s="3" t="n">
        <f aca="false">SUM(E4:E13)</f>
        <v>543</v>
      </c>
      <c r="G14" s="3" t="n">
        <f aca="false">SUM(G4:G13)</f>
        <v>31725784.44</v>
      </c>
      <c r="H14" s="3" t="n">
        <f aca="false">SUM(H4:H13)</f>
        <v>30525784.48</v>
      </c>
      <c r="I14" s="3" t="n">
        <f aca="false">SUM(I4:I13)</f>
        <v>-1199999.96</v>
      </c>
      <c r="J14" s="3" t="n">
        <f aca="false">SUM(J4:J13)</f>
        <v>35253305.58</v>
      </c>
      <c r="K14" s="3" t="n">
        <f aca="false">SUM(K4:K13)</f>
        <v>34053305.62</v>
      </c>
      <c r="M14" s="3" t="n">
        <f aca="false">SUM(M4:M13)</f>
        <v>8</v>
      </c>
    </row>
    <row r="16" customFormat="false" ht="15" hidden="false" customHeight="false" outlineLevel="0" collapsed="false">
      <c r="A16" s="0" t="s">
        <v>46</v>
      </c>
      <c r="C16" s="0" t="n">
        <f aca="false">M14/COUNTA(A4:A13)</f>
        <v>0.8</v>
      </c>
    </row>
    <row r="17" customFormat="false" ht="15" hidden="false" customHeight="false" outlineLevel="0" collapsed="false">
      <c r="A17" s="0" t="s">
        <v>47</v>
      </c>
      <c r="C17" s="0" t="n">
        <f aca="false">D14/C14</f>
        <v>0.996383363471971</v>
      </c>
    </row>
    <row r="18" customFormat="false" ht="15" hidden="false" customHeight="false" outlineLevel="0" collapsed="false">
      <c r="A18" s="0" t="s">
        <v>48</v>
      </c>
      <c r="C18" s="0" t="n">
        <f aca="false">H14/G14</f>
        <v>0.962175877407556</v>
      </c>
    </row>
    <row r="19" customFormat="false" ht="15" hidden="false" customHeight="false" outlineLevel="0" collapsed="false">
      <c r="A19" s="0" t="s">
        <v>49</v>
      </c>
      <c r="C19" s="0" t="n">
        <v>0</v>
      </c>
    </row>
    <row r="20" customFormat="false" ht="15" hidden="false" customHeight="false" outlineLevel="0" collapsed="false">
      <c r="A20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2026-10-21T05:36:28Z</dcterms:created>
  <dc:creator>openpyxl</dc:creator>
  <dc:description/>
  <dc:language>en-US</dc:language>
  <cp:lastModifiedBy/>
  <dcterms:modified xsi:type="dcterms:W3CDTF">2026-10-21T05:36:28Z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