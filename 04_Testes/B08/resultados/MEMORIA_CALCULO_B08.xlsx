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Dimensionamento_MUS" sheetId="2" state="visible" r:id="rId4"/>
    <sheet name="Avaliacao_MUS" sheetId="3" state="visible" r:id="rId5"/>
    <sheet name="Estagio1_distorcoes" sheetId="4" state="visible" r:id="rId6"/>
    <sheet name="Agregacao_PT450" sheetId="5" state="visible" r:id="rId7"/>
    <sheet name="TD05_remuneracao" sheetId="6" state="visible" r:id="rId8"/>
    <sheet name="TD06_classificaca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<sst xmlns="http://schemas.openxmlformats.org/spreadsheetml/2006/main" count="1259" uniqueCount="169">
  <si>
    <t xml:space="preserve">MEMÓRIA DE CÁLCULO – BLOCO 08 (PT 530 e parte simulada do PT 450) – base SINTÉTICA, cenário TESTE – não são dados da ISA Energia Brasil</t>
  </si>
  <si>
    <t xml:space="preserve">Células amarelas = entradas (parâmetros do desenho congelado ou resultados do b08_testes.py). Demais = fórmulas. Valores em R$.</t>
  </si>
  <si>
    <t xml:space="preserve">Fator de confiança: GAMMAINV(0,95; k+1; 1) = limite superior de Poisson para k distorções (equivale à tabela usual de MUS).</t>
  </si>
  <si>
    <t xml:space="preserve">Sem uso do gabarito: esta planilha foi gerada antes do confronto (controle/CONGELAMENTO_RESULTADOS.json).</t>
  </si>
  <si>
    <t xml:space="preserve">Preparado por: matrícula 241003689 (execução assistida por IA). Revisão humana: ____________ (em branco).</t>
  </si>
  <si>
    <t xml:space="preserve">Parâmetro</t>
  </si>
  <si>
    <t xml:space="preserve">Valor</t>
  </si>
  <si>
    <t xml:space="preserve">Fonte / natureza</t>
  </si>
  <si>
    <t xml:space="preserve">Materialidade de execução – ME (R$)</t>
  </si>
  <si>
    <t xml:space="preserve">D-014 – exigência: TM ≤ ME (530 A3)</t>
  </si>
  <si>
    <t xml:space="preserve">Σ |efeito no saldo| – Estágio 1 (R$)</t>
  </si>
  <si>
    <t xml:space="preserve">Resultado b08_testes.py</t>
  </si>
  <si>
    <t xml:space="preserve">Σ |efeito no resultado| – Estágio 1 (R$)</t>
  </si>
  <si>
    <t xml:space="preserve">TM da amostra (R$) = ME − máx</t>
  </si>
  <si>
    <t xml:space="preserve">Regra do desenho (julgamento conservador: distorções presumidas não corrigidas)</t>
  </si>
  <si>
    <t xml:space="preserve">Erro esperado – EE (R$)</t>
  </si>
  <si>
    <t xml:space="preserve">Premissa didática (B06; 10% da ME) – julgamento</t>
  </si>
  <si>
    <t xml:space="preserve">Fator de expansão – FE</t>
  </si>
  <si>
    <t xml:space="preserve">Tabela usual de MUS, 5% de risco – julgamento</t>
  </si>
  <si>
    <t xml:space="preserve">Confiança</t>
  </si>
  <si>
    <t xml:space="preserve">Risco significativo, controles não testados (PT 330) – julgamento</t>
  </si>
  <si>
    <t xml:space="preserve">Fator de confiança 0 erros – FC(0)</t>
  </si>
  <si>
    <t xml:space="preserve">Poisson: −ln(0,05)</t>
  </si>
  <si>
    <t xml:space="preserve">Valor contábil do restante – VC (R$)</t>
  </si>
  <si>
    <t xml:space="preserve">População TD-01 − itens específicos − estrato superior</t>
  </si>
  <si>
    <t xml:space="preserve">Tamanho n = ⌈VC × FC / (TM − EE × FE)⌉</t>
  </si>
  <si>
    <t xml:space="preserve">530 it. 7; A11 (fórmula estatística)</t>
  </si>
  <si>
    <t xml:space="preserve">Intervalo J (R$) = ⌊VC / n⌋</t>
  </si>
  <si>
    <t xml:space="preserve">Itens ≥ J vão para o estrato superior (100%)</t>
  </si>
  <si>
    <t xml:space="preserve">Início aleatório (centavos)</t>
  </si>
  <si>
    <t xml:space="preserve">Semente 2025123108 (numpy PCG64)</t>
  </si>
  <si>
    <t xml:space="preserve">n efetivamente selecionado (código)</t>
  </si>
  <si>
    <t xml:space="preserve">AMOSTRA_MUS.csv</t>
  </si>
  <si>
    <t xml:space="preserve">Conferência: n fórmula − n código</t>
  </si>
  <si>
    <t xml:space="preserve">Deve ser 0</t>
  </si>
  <si>
    <t xml:space="preserve">Referência B06 (sem Estágio 1; VC total; TM = ME)</t>
  </si>
  <si>
    <t xml:space="preserve">Comparação – tamanho maior agora porque o TM foi reduzido pelas distorções já encontradas</t>
  </si>
  <si>
    <t xml:space="preserve">Item</t>
  </si>
  <si>
    <t xml:space="preserve">Fórmula / nota</t>
  </si>
  <si>
    <t xml:space="preserve">J (R$)</t>
  </si>
  <si>
    <t xml:space="preserve">Itens na amostra</t>
  </si>
  <si>
    <t xml:space="preserve">Itens com distorção na amostra</t>
  </si>
  <si>
    <t xml:space="preserve">Soma das distorções detectadas na amostra (R$)</t>
  </si>
  <si>
    <t xml:space="preserve">Valor real encontrado – NÃO é a projeção</t>
  </si>
  <si>
    <t xml:space="preserve">Precisão básica = FC(0) × J</t>
  </si>
  <si>
    <t xml:space="preserve">Risco de amostragem com 0 distorções</t>
  </si>
  <si>
    <t xml:space="preserve">Distorção projetada = Σ t × J</t>
  </si>
  <si>
    <t xml:space="preserve">530 it. 14; A18</t>
  </si>
  <si>
    <t xml:space="preserve">Acréscimo por distorções ordenadas</t>
  </si>
  <si>
    <t xml:space="preserve">Σ t(i) × (FC(i) − FC(i−1) − 1)</t>
  </si>
  <si>
    <t xml:space="preserve">LIMITE SUPERIOR de distorção (restante)</t>
  </si>
  <si>
    <t xml:space="preserve">Limite de avaliação (inclui risco de amostragem)</t>
  </si>
  <si>
    <t xml:space="preserve">TM da amostra</t>
  </si>
  <si>
    <t xml:space="preserve">Folga = TM − limite superior</t>
  </si>
  <si>
    <t xml:space="preserve">&gt; 0: amostra dá base razoável (530 A22)</t>
  </si>
  <si>
    <t xml:space="preserve">Estrato superior: itens / valor / distorção real (R$)</t>
  </si>
  <si>
    <t xml:space="preserve">1 / 10,000,000.00 / 0.00</t>
  </si>
  <si>
    <t xml:space="preserve">Examinado a 100%; sem projeção</t>
  </si>
  <si>
    <t xml:space="preserve">Contaminações ordenadas (t) e incremento de fator</t>
  </si>
  <si>
    <t xml:space="preserve">Nenhuma distorção na amostra: distorção projetada = 0; limite superior = precisão básica.</t>
  </si>
  <si>
    <t xml:space="preserve">Teste | regra</t>
  </si>
  <si>
    <t xml:space="preserve">Linhas</t>
  </si>
  <si>
    <t xml:space="preserve">Efeito no saldo 31/12/2025 (R$)</t>
  </si>
  <si>
    <t xml:space="preserve">Efeito no resultado 2025 (R$)</t>
  </si>
  <si>
    <t xml:space="preserve">Natureza (450 A6)</t>
  </si>
  <si>
    <t xml:space="preserve">Meio de seleção</t>
  </si>
  <si>
    <t xml:space="preserve">TD-01|R1</t>
  </si>
  <si>
    <t xml:space="preserve">Factual</t>
  </si>
  <si>
    <t xml:space="preserve">100% / itens específicos (não é amostragem; sem projeção – 500 A66)</t>
  </si>
  <si>
    <t xml:space="preserve">TD-01|R2</t>
  </si>
  <si>
    <t xml:space="preserve">TD-01|R4</t>
  </si>
  <si>
    <t xml:space="preserve">TD-01|R5</t>
  </si>
  <si>
    <t xml:space="preserve">Factual (corte; afeta abertura)</t>
  </si>
  <si>
    <t xml:space="preserve">TD-01|R6</t>
  </si>
  <si>
    <t xml:space="preserve">Factual (sem suporte; indício de fraude)</t>
  </si>
  <si>
    <t xml:space="preserve">TD-03|CORTE-2026</t>
  </si>
  <si>
    <t xml:space="preserve">Factual (subavaliação)</t>
  </si>
  <si>
    <t xml:space="preserve">TD-05|REM</t>
  </si>
  <si>
    <t xml:space="preserve">Factual (cálculo)</t>
  </si>
  <si>
    <t xml:space="preserve">Total líquido</t>
  </si>
  <si>
    <t xml:space="preserve">Total |absoluto|</t>
  </si>
  <si>
    <t xml:space="preserve">Classificação (sem efeito no total): TD-04 recebimentos aplicados a outro contrato (R$)</t>
  </si>
  <si>
    <t xml:space="preserve">Componente</t>
  </si>
  <si>
    <t xml:space="preserve">Saldo 31/12/2025 (R$)</t>
  </si>
  <si>
    <t xml:space="preserve">Resultado 2025 (R$)</t>
  </si>
  <si>
    <t xml:space="preserve">Nota</t>
  </si>
  <si>
    <t xml:space="preserve">(1) Distorções factuais identificadas – líquido</t>
  </si>
  <si>
    <t xml:space="preserve">100%/itens específicos; sem risco de amostragem</t>
  </si>
  <si>
    <t xml:space="preserve">(2) Distorções de julgamento</t>
  </si>
  <si>
    <t xml:space="preserve">TD-06: exceção explicada por evidência pública (F0003 p.37, 46); nenhuma registrada</t>
  </si>
  <si>
    <t xml:space="preserve">(3) Distorção projetada (MUS, restante)</t>
  </si>
  <si>
    <t xml:space="preserve">Superavaliação de débitos de receita/ativo</t>
  </si>
  <si>
    <t xml:space="preserve">(4) Melhor estimativa = (1)+(2)+(3)</t>
  </si>
  <si>
    <t xml:space="preserve">450 A6; 530 A22</t>
  </si>
  <si>
    <t xml:space="preserve">(5) Margem para risco de amostragem = limite superior − projetada</t>
  </si>
  <si>
    <t xml:space="preserve">Não é distorção identificada</t>
  </si>
  <si>
    <t xml:space="preserve">(6) Limite superior agregado = (4)+(5)</t>
  </si>
  <si>
    <t xml:space="preserve">Comparar com ME e MG</t>
  </si>
  <si>
    <t xml:space="preserve">ME</t>
  </si>
  <si>
    <t xml:space="preserve">D-014</t>
  </si>
  <si>
    <t xml:space="preserve">MG</t>
  </si>
  <si>
    <t xml:space="preserve">CT</t>
  </si>
  <si>
    <t xml:space="preserve">(6) / ME</t>
  </si>
  <si>
    <t xml:space="preserve">Conciliação: TESTE − publicado (PT 500, C1)</t>
  </si>
  <si>
    <t xml:space="preserve">CONCILIACAO_BASE_B07 aba C_TESTE</t>
  </si>
  <si>
    <t xml:space="preserve">Explicado pelas distorções factuais líquidas (saldo)</t>
  </si>
  <si>
    <t xml:space="preserve">Diferença de conciliação NÃO explicada</t>
  </si>
  <si>
    <t xml:space="preserve">Localizada em O&amp;M / perda esperada (C2 e C4 do C_TESTE): a investigar no PT 540</t>
  </si>
  <si>
    <t xml:space="preserve">Contrato</t>
  </si>
  <si>
    <t xml:space="preserve">Comp.</t>
  </si>
  <si>
    <t xml:space="preserve">Competência</t>
  </si>
  <si>
    <t xml:space="preserve">Base (R$)</t>
  </si>
  <si>
    <t xml:space="preserve">Valor (R$)</t>
  </si>
  <si>
    <t xml:space="preserve">Taxa</t>
  </si>
  <si>
    <t xml:space="preserve">Taxa modal</t>
  </si>
  <si>
    <t xml:space="preserve">Fator modal</t>
  </si>
  <si>
    <t xml:space="preserve">Esperado = base × fator</t>
  </si>
  <si>
    <t xml:space="preserve">Diferença</t>
  </si>
  <si>
    <t xml:space="preserve">001/2008</t>
  </si>
  <si>
    <t xml:space="preserve">IMPL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</si>
  <si>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</si>
  <si>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</si>
  <si>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</si>
  <si>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</si>
  <si>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</si>
  <si>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</si>
  <si>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</si>
  <si>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</si>
  <si>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</si>
  <si>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</si>
  <si>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</si>
  <si>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</si>
  <si>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001/2020</t>
  </si>
  <si>
    <t xml:space="preserve">004/2007</t>
  </si>
  <si>
    <t xml:space="preserve">005/2021</t>
  </si>
  <si>
    <t xml:space="preserve">006/2020</t>
  </si>
  <si>
    <t xml:space="preserve">006/2023</t>
  </si>
  <si>
    <t xml:space="preserve">007/2020</t>
  </si>
  <si>
    <t xml:space="preserve">008/2022</t>
  </si>
  <si>
    <t xml:space="preserve">011/2022</t>
  </si>
  <si>
    <t xml:space="preserve">012/2008</t>
  </si>
  <si>
    <t xml:space="preserve">012/2016</t>
  </si>
  <si>
    <t xml:space="preserve">012/2018</t>
  </si>
  <si>
    <t xml:space="preserve">012/2023</t>
  </si>
  <si>
    <t xml:space="preserve">013/2008</t>
  </si>
  <si>
    <t xml:space="preserve">014/2023</t>
  </si>
  <si>
    <t xml:space="preserve">015/2008</t>
  </si>
  <si>
    <t xml:space="preserve">016/2008</t>
  </si>
  <si>
    <t xml:space="preserve">018/2008</t>
  </si>
  <si>
    <t xml:space="preserve">018/2017</t>
  </si>
  <si>
    <t xml:space="preserve">021/2011</t>
  </si>
  <si>
    <t xml:space="preserve">021/2018</t>
  </si>
  <si>
    <t xml:space="preserve">026/2009</t>
  </si>
  <si>
    <t xml:space="preserve">026/2017</t>
  </si>
  <si>
    <t xml:space="preserve">027/2017</t>
  </si>
  <si>
    <t xml:space="preserve">042/2017</t>
  </si>
  <si>
    <t xml:space="preserve">046/2017</t>
  </si>
  <si>
    <t xml:space="preserve">059/2001</t>
  </si>
  <si>
    <t xml:space="preserve">143/2001</t>
  </si>
  <si>
    <t xml:space="preserve">Σ |diferenças| &gt; R$ 1</t>
  </si>
  <si>
    <t xml:space="preserve">Índice 2024</t>
  </si>
  <si>
    <t xml:space="preserve">Índice 2025</t>
  </si>
  <si>
    <t xml:space="preserve">Circulante 2025</t>
  </si>
  <si>
    <t xml:space="preserve">Esperado (índice 2024)</t>
  </si>
  <si>
    <t xml:space="preserve">Variação p.p.</t>
  </si>
  <si>
    <t xml:space="preserve">Exceção pela regra</t>
  </si>
  <si>
    <t xml:space="preserve">OEM</t>
  </si>
  <si>
    <t xml:space="preserve">SE_ECO</t>
  </si>
  <si>
    <t xml:space="preserve">SE_FIN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</si>
</sst>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[RED]\-#,##0.00"/>
    <numFmt numFmtId="166" formatCode="0.00"/>
    <numFmt numFmtId="167" formatCode="0%"/>
    <numFmt numFmtId="168" formatCode="0.0000"/>
    <numFmt numFmtId="169" formatCode="0"/>
    <numFmt numFmtId="170" formatCode="@"/>
    <numFmt numFmtId="171" formatCode="0.0%"/>
    <numFmt numFmtId="172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</row>
    <row r="2" customFormat="false" ht="15" hidden="false" customHeight="false" outlineLevel="0" collapsed="false">
      <c r="A2" s="0" t="s">
        <v>8</v>
      </c>
      <c r="B2" s="2" t="n">
        <v>90000000</v>
      </c>
      <c r="C2" s="3" t="s">
        <v>9</v>
      </c>
    </row>
    <row r="3" customFormat="false" ht="15" hidden="false" customHeight="false" outlineLevel="0" collapsed="false">
      <c r="A3" s="0" t="s">
        <v>10</v>
      </c>
      <c r="B3" s="2" t="n">
        <v>44928821.04</v>
      </c>
      <c r="C3" s="3" t="s">
        <v>11</v>
      </c>
    </row>
    <row r="4" customFormat="false" ht="15" hidden="false" customHeight="false" outlineLevel="0" collapsed="false">
      <c r="A4" s="0" t="s">
        <v>12</v>
      </c>
      <c r="B4" s="2" t="n">
        <v>48456342.18</v>
      </c>
      <c r="C4" s="3" t="s">
        <v>11</v>
      </c>
    </row>
    <row r="5" customFormat="false" ht="15" hidden="false" customHeight="false" outlineLevel="0" collapsed="false">
      <c r="A5" s="0" t="s">
        <v>13</v>
      </c>
      <c r="B5" s="4" t="n">
        <f aca="false">B2-MAX(B3,B4)</f>
        <v>41543657.82</v>
      </c>
      <c r="C5" s="3" t="s">
        <v>14</v>
      </c>
    </row>
    <row r="6" customFormat="false" ht="15" hidden="false" customHeight="false" outlineLevel="0" collapsed="false">
      <c r="A6" s="0" t="s">
        <v>15</v>
      </c>
      <c r="B6" s="2" t="n">
        <v>9000000</v>
      </c>
      <c r="C6" s="3" t="s">
        <v>16</v>
      </c>
    </row>
    <row r="7" customFormat="false" ht="15" hidden="false" customHeight="false" outlineLevel="0" collapsed="false">
      <c r="A7" s="0" t="s">
        <v>17</v>
      </c>
      <c r="B7" s="5" t="n">
        <v>1.6</v>
      </c>
      <c r="C7" s="3" t="s">
        <v>18</v>
      </c>
    </row>
    <row r="8" customFormat="false" ht="15" hidden="false" customHeight="false" outlineLevel="0" collapsed="false">
      <c r="A8" s="0" t="s">
        <v>19</v>
      </c>
      <c r="B8" s="6" t="n">
        <v>0.95</v>
      </c>
      <c r="C8" s="3" t="s">
        <v>20</v>
      </c>
    </row>
    <row r="9" customFormat="false" ht="15" hidden="false" customHeight="false" outlineLevel="0" collapsed="false">
      <c r="A9" s="0" t="s">
        <v>21</v>
      </c>
      <c r="B9" s="7" t="n">
        <f aca="false">GAMMAINV(B8,1,1)</f>
        <v>2.99573227355399</v>
      </c>
      <c r="C9" s="3" t="s">
        <v>22</v>
      </c>
    </row>
    <row r="10" customFormat="false" ht="15" hidden="false" customHeight="false" outlineLevel="0" collapsed="false">
      <c r="A10" s="0" t="s">
        <v>23</v>
      </c>
      <c r="B10" s="2" t="n">
        <v>6424285941.99</v>
      </c>
      <c r="C10" s="3" t="s">
        <v>24</v>
      </c>
    </row>
    <row r="11" customFormat="false" ht="15" hidden="false" customHeight="false" outlineLevel="0" collapsed="false">
      <c r="A11" s="0" t="s">
        <v>25</v>
      </c>
      <c r="B11" s="8" t="n">
        <f aca="false">ROUNDUP(B10*B9/(B5-B6*B7),0)</f>
        <v>710</v>
      </c>
      <c r="C11" s="3" t="s">
        <v>26</v>
      </c>
    </row>
    <row r="12" customFormat="false" ht="15" hidden="false" customHeight="false" outlineLevel="0" collapsed="false">
      <c r="A12" s="0" t="s">
        <v>27</v>
      </c>
      <c r="B12" s="4" t="n">
        <f aca="false">ROUNDDOWN(B10*100/B11,0)/100</f>
        <v>9048290.05</v>
      </c>
      <c r="C12" s="3" t="s">
        <v>28</v>
      </c>
    </row>
    <row r="13" customFormat="false" ht="15" hidden="false" customHeight="false" outlineLevel="0" collapsed="false">
      <c r="A13" s="0" t="s">
        <v>29</v>
      </c>
      <c r="B13" s="9" t="n">
        <v>519156127</v>
      </c>
      <c r="C13" s="3" t="s">
        <v>30</v>
      </c>
    </row>
    <row r="14" customFormat="false" ht="15" hidden="false" customHeight="false" outlineLevel="0" collapsed="false">
      <c r="A14" s="0" t="s">
        <v>31</v>
      </c>
      <c r="B14" s="9" t="n">
        <v>710</v>
      </c>
      <c r="C14" s="3" t="s">
        <v>32</v>
      </c>
    </row>
    <row r="15" customFormat="false" ht="15" hidden="false" customHeight="false" outlineLevel="0" collapsed="false">
      <c r="A15" s="0" t="s">
        <v>33</v>
      </c>
      <c r="B15" s="8" t="n">
        <f aca="false">B11-B14</f>
        <v>0</v>
      </c>
      <c r="C15" s="3" t="s">
        <v>34</v>
      </c>
    </row>
    <row r="16" customFormat="false" ht="15" hidden="false" customHeight="false" outlineLevel="0" collapsed="false">
      <c r="A16" s="0" t="s">
        <v>35</v>
      </c>
      <c r="B16" s="9" t="n">
        <v>257</v>
      </c>
      <c r="C16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37</v>
      </c>
      <c r="B1" s="1" t="s">
        <v>6</v>
      </c>
      <c r="C1" s="1" t="s">
        <v>38</v>
      </c>
    </row>
    <row r="2" customFormat="false" ht="15" hidden="false" customHeight="false" outlineLevel="0" collapsed="false">
      <c r="A2" s="0" t="s">
        <v>39</v>
      </c>
      <c r="B2" s="4" t="n">
        <f aca="false">Dimensionamento_MUS!B12</f>
        <v>9048290.05</v>
      </c>
    </row>
    <row r="3" customFormat="false" ht="15" hidden="false" customHeight="false" outlineLevel="0" collapsed="false">
      <c r="A3" s="0" t="s">
        <v>19</v>
      </c>
      <c r="B3" s="10" t="n">
        <f aca="false">Dimensionamento_MUS!B8</f>
        <v>0.95</v>
      </c>
    </row>
    <row r="4" customFormat="false" ht="15" hidden="false" customHeight="false" outlineLevel="0" collapsed="false">
      <c r="A4" s="0" t="s">
        <v>40</v>
      </c>
      <c r="B4" s="9" t="n">
        <v>710</v>
      </c>
    </row>
    <row r="5" customFormat="false" ht="15" hidden="false" customHeight="false" outlineLevel="0" collapsed="false">
      <c r="A5" s="0" t="s">
        <v>41</v>
      </c>
      <c r="B5" s="9" t="n">
        <v>0</v>
      </c>
    </row>
    <row r="6" customFormat="false" ht="15" hidden="false" customHeight="false" outlineLevel="0" collapsed="false">
      <c r="A6" s="0" t="s">
        <v>42</v>
      </c>
      <c r="B6" s="2" t="n">
        <v>0</v>
      </c>
      <c r="C6" s="3" t="s">
        <v>43</v>
      </c>
    </row>
    <row r="7" customFormat="false" ht="15" hidden="false" customHeight="false" outlineLevel="0" collapsed="false">
      <c r="A7" s="0" t="s">
        <v>44</v>
      </c>
      <c r="B7" s="4" t="n">
        <f aca="false">GAMMAINV(B3,1,1)*B2</f>
        <v>27106254.5232624</v>
      </c>
      <c r="C7" s="3" t="s">
        <v>45</v>
      </c>
    </row>
    <row r="8" customFormat="false" ht="15" hidden="false" customHeight="false" outlineLevel="0" collapsed="false">
      <c r="A8" s="0" t="s">
        <v>46</v>
      </c>
      <c r="B8" s="4" t="n">
        <v>0</v>
      </c>
      <c r="C8" s="3" t="s">
        <v>47</v>
      </c>
    </row>
    <row r="9" customFormat="false" ht="15" hidden="false" customHeight="false" outlineLevel="0" collapsed="false">
      <c r="A9" s="0" t="s">
        <v>48</v>
      </c>
      <c r="B9" s="4" t="n">
        <v>0</v>
      </c>
      <c r="C9" s="3" t="s">
        <v>49</v>
      </c>
    </row>
    <row r="10" customFormat="false" ht="15" hidden="false" customHeight="false" outlineLevel="0" collapsed="false">
      <c r="A10" s="0" t="s">
        <v>50</v>
      </c>
      <c r="B10" s="4" t="n">
        <f aca="false">B7+B8+B9</f>
        <v>27106254.5232624</v>
      </c>
      <c r="C10" s="3" t="s">
        <v>51</v>
      </c>
    </row>
    <row r="11" customFormat="false" ht="15" hidden="false" customHeight="false" outlineLevel="0" collapsed="false">
      <c r="A11" s="0" t="s">
        <v>52</v>
      </c>
      <c r="B11" s="4" t="n">
        <f aca="false">Dimensionamento_MUS!B5</f>
        <v>41543657.82</v>
      </c>
    </row>
    <row r="12" customFormat="false" ht="15" hidden="false" customHeight="false" outlineLevel="0" collapsed="false">
      <c r="A12" s="0" t="s">
        <v>53</v>
      </c>
      <c r="B12" s="4" t="n">
        <f aca="false">B11-B10</f>
        <v>14437403.2967376</v>
      </c>
      <c r="C12" s="3" t="s">
        <v>54</v>
      </c>
    </row>
    <row r="13" customFormat="false" ht="15" hidden="false" customHeight="false" outlineLevel="0" collapsed="false">
      <c r="A13" s="0" t="s">
        <v>55</v>
      </c>
      <c r="B13" s="11" t="s">
        <v>56</v>
      </c>
      <c r="C13" s="3" t="s">
        <v>57</v>
      </c>
    </row>
    <row r="19" customFormat="false" ht="15" hidden="false" customHeight="false" outlineLevel="0" collapsed="false">
      <c r="A19" s="12" t="s">
        <v>58</v>
      </c>
    </row>
    <row r="20" customFormat="false" ht="15" hidden="false" customHeight="false" outlineLevel="0" collapsed="false">
      <c r="A20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28.35" hidden="false" customHeight="fals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customFormat="false" ht="15" hidden="false" customHeight="false" outlineLevel="0" collapsed="false">
      <c r="A2" s="0" t="s">
        <v>66</v>
      </c>
      <c r="B2" s="0" t="n">
        <v>35</v>
      </c>
      <c r="C2" s="4" t="n">
        <v>4893510.12</v>
      </c>
      <c r="D2" s="4" t="n">
        <v>4893510.12</v>
      </c>
      <c r="E2" s="3" t="s">
        <v>67</v>
      </c>
      <c r="F2" s="3" t="s">
        <v>68</v>
      </c>
    </row>
    <row r="3" customFormat="false" ht="15" hidden="false" customHeight="false" outlineLevel="0" collapsed="false">
      <c r="A3" s="0" t="s">
        <v>69</v>
      </c>
      <c r="B3" s="0" t="n">
        <v>20</v>
      </c>
      <c r="C3" s="4" t="n">
        <v>7716140.92</v>
      </c>
      <c r="D3" s="4" t="n">
        <v>7716140.92</v>
      </c>
      <c r="E3" s="3" t="s">
        <v>67</v>
      </c>
      <c r="F3" s="3" t="s">
        <v>68</v>
      </c>
    </row>
    <row r="4" customFormat="false" ht="15" hidden="false" customHeight="false" outlineLevel="0" collapsed="false">
      <c r="A4" s="0" t="s">
        <v>70</v>
      </c>
      <c r="B4" s="0" t="n">
        <v>60</v>
      </c>
      <c r="C4" s="4" t="n">
        <v>4600000</v>
      </c>
      <c r="D4" s="4" t="n">
        <v>4600000</v>
      </c>
      <c r="E4" s="3" t="s">
        <v>67</v>
      </c>
      <c r="F4" s="3" t="s">
        <v>68</v>
      </c>
    </row>
    <row r="5" customFormat="false" ht="15" hidden="false" customHeight="false" outlineLevel="0" collapsed="false">
      <c r="A5" s="0" t="s">
        <v>71</v>
      </c>
      <c r="B5" s="0" t="n">
        <v>150</v>
      </c>
      <c r="C5" s="4" t="n">
        <v>0</v>
      </c>
      <c r="D5" s="4" t="n">
        <v>3527521.14</v>
      </c>
      <c r="E5" s="3" t="s">
        <v>72</v>
      </c>
      <c r="F5" s="3" t="s">
        <v>68</v>
      </c>
    </row>
    <row r="6" customFormat="false" ht="15" hidden="false" customHeight="false" outlineLevel="0" collapsed="false">
      <c r="A6" s="0" t="s">
        <v>73</v>
      </c>
      <c r="B6" s="0" t="n">
        <v>2</v>
      </c>
      <c r="C6" s="4" t="n">
        <v>15500000</v>
      </c>
      <c r="D6" s="4" t="n">
        <v>15500000</v>
      </c>
      <c r="E6" s="3" t="s">
        <v>74</v>
      </c>
      <c r="F6" s="3" t="s">
        <v>68</v>
      </c>
    </row>
    <row r="7" customFormat="false" ht="15" hidden="false" customHeight="false" outlineLevel="0" collapsed="false">
      <c r="A7" s="0" t="s">
        <v>75</v>
      </c>
      <c r="B7" s="0" t="n">
        <v>273</v>
      </c>
      <c r="C7" s="4" t="n">
        <v>-7201518.28</v>
      </c>
      <c r="D7" s="4" t="n">
        <v>-7201518.28</v>
      </c>
      <c r="E7" s="3" t="s">
        <v>76</v>
      </c>
      <c r="F7" s="3" t="s">
        <v>68</v>
      </c>
    </row>
    <row r="8" customFormat="false" ht="15" hidden="false" customHeight="false" outlineLevel="0" collapsed="false">
      <c r="A8" s="0" t="s">
        <v>77</v>
      </c>
      <c r="B8" s="0" t="n">
        <v>3</v>
      </c>
      <c r="C8" s="4" t="n">
        <v>5017651.72</v>
      </c>
      <c r="D8" s="4" t="n">
        <v>5017651.72</v>
      </c>
      <c r="E8" s="3" t="s">
        <v>78</v>
      </c>
      <c r="F8" s="3" t="s">
        <v>68</v>
      </c>
    </row>
    <row r="9" customFormat="false" ht="15" hidden="false" customHeight="false" outlineLevel="0" collapsed="false">
      <c r="A9" s="12" t="s">
        <v>79</v>
      </c>
      <c r="B9" s="8" t="n">
        <f aca="false">SUM(B2:B8)</f>
        <v>543</v>
      </c>
      <c r="C9" s="4" t="n">
        <f aca="false">SUM(C2:C8)</f>
        <v>30525784.48</v>
      </c>
      <c r="D9" s="4" t="n">
        <f aca="false">SUM(D2:D8)</f>
        <v>34053305.62</v>
      </c>
    </row>
    <row r="10" customFormat="false" ht="15" hidden="false" customHeight="false" outlineLevel="0" collapsed="false">
      <c r="A10" s="12" t="s">
        <v>80</v>
      </c>
      <c r="C10" s="4" t="n">
        <f aca="false">SUMPRODUCT(ABS(C2:C8))</f>
        <v>44928821.04</v>
      </c>
      <c r="D10" s="4" t="n">
        <f aca="false">SUMPRODUCT(ABS(D2:D8))</f>
        <v>48456342.18</v>
      </c>
    </row>
    <row r="12" customFormat="false" ht="15" hidden="false" customHeight="false" outlineLevel="0" collapsed="false">
      <c r="A12" s="0" t="s">
        <v>81</v>
      </c>
      <c r="C12" s="4" t="n">
        <v>-1986044.78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82</v>
      </c>
      <c r="B1" s="1" t="s">
        <v>83</v>
      </c>
      <c r="C1" s="1" t="s">
        <v>84</v>
      </c>
      <c r="D1" s="1" t="s">
        <v>85</v>
      </c>
    </row>
    <row r="2" customFormat="false" ht="15" hidden="false" customHeight="false" outlineLevel="0" collapsed="false">
      <c r="A2" s="0" t="s">
        <v>86</v>
      </c>
      <c r="B2" s="4" t="n">
        <f aca="false">Estagio1_distorcoes!C9</f>
        <v>30525784.48</v>
      </c>
      <c r="C2" s="4" t="n">
        <f aca="false">Estagio1_distorcoes!D9</f>
        <v>34053305.62</v>
      </c>
      <c r="D2" s="3" t="s">
        <v>87</v>
      </c>
    </row>
    <row r="3" customFormat="false" ht="15" hidden="false" customHeight="false" outlineLevel="0" collapsed="false">
      <c r="A3" s="0" t="s">
        <v>88</v>
      </c>
      <c r="B3" s="4" t="n">
        <v>0</v>
      </c>
      <c r="C3" s="4" t="n">
        <v>0</v>
      </c>
      <c r="D3" s="3" t="s">
        <v>89</v>
      </c>
    </row>
    <row r="4" customFormat="false" ht="15" hidden="false" customHeight="false" outlineLevel="0" collapsed="false">
      <c r="A4" s="0" t="s">
        <v>90</v>
      </c>
      <c r="B4" s="4" t="n">
        <f aca="false">Avaliacao_MUS!B8</f>
        <v>0</v>
      </c>
      <c r="C4" s="4" t="n">
        <f aca="false">Avaliacao_MUS!B8</f>
        <v>0</v>
      </c>
      <c r="D4" s="3" t="s">
        <v>91</v>
      </c>
    </row>
    <row r="5" customFormat="false" ht="15" hidden="false" customHeight="false" outlineLevel="0" collapsed="false">
      <c r="A5" s="0" t="s">
        <v>92</v>
      </c>
      <c r="B5" s="4" t="n">
        <f aca="false">B2+B3+B4</f>
        <v>30525784.48</v>
      </c>
      <c r="C5" s="4" t="n">
        <f aca="false">C2+C3+C4</f>
        <v>34053305.62</v>
      </c>
      <c r="D5" s="3" t="s">
        <v>93</v>
      </c>
    </row>
    <row r="6" customFormat="false" ht="15" hidden="false" customHeight="false" outlineLevel="0" collapsed="false">
      <c r="A6" s="0" t="s">
        <v>94</v>
      </c>
      <c r="B6" s="4" t="n">
        <f aca="false">Avaliacao_MUS!B10-Avaliacao_MUS!B8</f>
        <v>27106254.5232624</v>
      </c>
      <c r="C6" s="4" t="n">
        <f aca="false">Avaliacao_MUS!B10-Avaliacao_MUS!B8</f>
        <v>27106254.5232624</v>
      </c>
      <c r="D6" s="3" t="s">
        <v>95</v>
      </c>
    </row>
    <row r="7" customFormat="false" ht="15" hidden="false" customHeight="false" outlineLevel="0" collapsed="false">
      <c r="A7" s="0" t="s">
        <v>96</v>
      </c>
      <c r="B7" s="4" t="n">
        <f aca="false">B5+B6</f>
        <v>57632039.0032624</v>
      </c>
      <c r="C7" s="4" t="n">
        <f aca="false">C5+C6</f>
        <v>61159560.1432624</v>
      </c>
      <c r="D7" s="3" t="s">
        <v>97</v>
      </c>
    </row>
    <row r="8" customFormat="false" ht="15" hidden="false" customHeight="false" outlineLevel="0" collapsed="false">
      <c r="A8" s="0" t="s">
        <v>98</v>
      </c>
      <c r="B8" s="2" t="n">
        <v>90000000</v>
      </c>
      <c r="C8" s="2" t="n">
        <v>90000000</v>
      </c>
      <c r="D8" s="3" t="s">
        <v>99</v>
      </c>
    </row>
    <row r="9" customFormat="false" ht="15" hidden="false" customHeight="false" outlineLevel="0" collapsed="false">
      <c r="A9" s="0" t="s">
        <v>100</v>
      </c>
      <c r="B9" s="2" t="n">
        <v>139000000</v>
      </c>
      <c r="C9" s="2" t="n">
        <v>139000000</v>
      </c>
      <c r="D9" s="3" t="s">
        <v>99</v>
      </c>
    </row>
    <row r="10" customFormat="false" ht="15" hidden="false" customHeight="false" outlineLevel="0" collapsed="false">
      <c r="A10" s="0" t="s">
        <v>101</v>
      </c>
      <c r="B10" s="2" t="n">
        <v>7000000</v>
      </c>
      <c r="C10" s="2" t="n">
        <v>7000000</v>
      </c>
      <c r="D10" s="3" t="s">
        <v>99</v>
      </c>
    </row>
    <row r="11" customFormat="false" ht="15" hidden="false" customHeight="false" outlineLevel="0" collapsed="false">
      <c r="A11" s="0" t="s">
        <v>102</v>
      </c>
      <c r="B11" s="13" t="n">
        <f aca="false">B7/B8</f>
        <v>0.640355988925138</v>
      </c>
      <c r="C11" s="13" t="n">
        <f aca="false">C7/C8</f>
        <v>0.679550668258472</v>
      </c>
    </row>
    <row r="12" customFormat="false" ht="15" hidden="false" customHeight="false" outlineLevel="0" collapsed="false">
      <c r="A12" s="0" t="s">
        <v>103</v>
      </c>
      <c r="B12" s="2" t="n">
        <v>31725784.44</v>
      </c>
      <c r="D12" s="3" t="s">
        <v>104</v>
      </c>
    </row>
    <row r="13" customFormat="false" ht="15" hidden="false" customHeight="false" outlineLevel="0" collapsed="false">
      <c r="A13" s="0" t="s">
        <v>105</v>
      </c>
      <c r="B13" s="4" t="n">
        <f aca="false">B2</f>
        <v>30525784.48</v>
      </c>
    </row>
    <row r="14" customFormat="false" ht="15" hidden="false" customHeight="false" outlineLevel="0" collapsed="false">
      <c r="A14" s="0" t="s">
        <v>106</v>
      </c>
      <c r="B14" s="4" t="n">
        <f aca="false">ROUND(B12-B13,2)</f>
        <v>1199999.96</v>
      </c>
      <c r="D14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28.35" hidden="false" customHeight="false" outlineLevel="0" collapsed="false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customFormat="false" ht="15" hidden="false" customHeight="false" outlineLevel="0" collapsed="false">
      <c r="A2" s="0" t="s">
        <v>118</v>
      </c>
      <c r="B2" s="0" t="s">
        <v>119</v>
      </c>
      <c r="C2" s="0" t="s">
        <v>120</v>
      </c>
      <c r="D2" s="0" t="n">
        <v>617542279.54</v>
      </c>
      <c r="E2" s="0" t="n">
        <v>6699872.28</v>
      </c>
      <c r="F2" s="0" t="n">
        <v>0.0873</v>
      </c>
      <c r="G2" s="0" t="n">
        <v>0.0873</v>
      </c>
      <c r="H2" s="0" t="n">
        <v>0.0108492528</v>
      </c>
      <c r="I2" s="4" t="n">
        <f aca="false">ROUND(D2*H2,2)</f>
        <v>6699872.31</v>
      </c>
      <c r="J2" s="4" t="n">
        <f aca="false">ROUND(E2-I2,2)</f>
        <v>-0.03</v>
      </c>
    </row>
    <row r="3" customFormat="false" ht="15" hidden="false" customHeight="false" outlineLevel="0" collapsed="false">
      <c r="A3" s="0" t="s">
        <v>118</v>
      </c>
      <c r="B3" s="0" t="s">
        <v>119</v>
      </c>
      <c r="C3" s="0" t="s">
        <v>121</v>
      </c>
      <c r="D3" s="0" t="n">
        <v>618072802.08</v>
      </c>
      <c r="E3" s="0" t="n">
        <v>6705628.05</v>
      </c>
      <c r="F3" s="0" t="n">
        <v>0.0873</v>
      </c>
      <c r="G3" s="0" t="n">
        <v>0.0873</v>
      </c>
      <c r="H3" s="0" t="n">
        <v>0.0108492528</v>
      </c>
      <c r="I3" s="4" t="n">
        <f aca="false">ROUND(D3*H3,2)</f>
        <v>6705628.08</v>
      </c>
      <c r="J3" s="4" t="n">
        <f aca="false">ROUND(E3-I3,2)</f>
        <v>-0.03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0" t="s">
        <v>122</v>
      </c>
      <c r="D4" s="0" t="n">
        <v>618289768.54</v>
      </c>
      <c r="E4" s="0" t="n">
        <v>6707981.98</v>
      </c>
      <c r="F4" s="0" t="n">
        <v>0.0873</v>
      </c>
      <c r="G4" s="0" t="n">
        <v>0.0873</v>
      </c>
      <c r="H4" s="0" t="n">
        <v>0.0108492528</v>
      </c>
      <c r="I4" s="4" t="n">
        <f aca="false">ROUND(D4*H4,2)</f>
        <v>6707982</v>
      </c>
      <c r="J4" s="4" t="n">
        <f aca="false">ROUND(E4-I4,2)</f>
        <v>-0.02</v>
      </c>
    </row>
    <row r="5" customFormat="false" ht="15" hidden="false" customHeight="false" outlineLevel="0" collapsed="false">
      <c r="A5" s="0" t="s">
        <v>118</v>
      </c>
      <c r="B5" s="0" t="s">
        <v>119</v>
      </c>
      <c r="C5" s="0" t="s">
        <v>123</v>
      </c>
      <c r="D5" s="0" t="n">
        <v>618758598.68</v>
      </c>
      <c r="E5" s="0" t="n">
        <v>6713068.43</v>
      </c>
      <c r="F5" s="0" t="n">
        <v>0.0873</v>
      </c>
      <c r="G5" s="0" t="n">
        <v>0.0873</v>
      </c>
      <c r="H5" s="0" t="n">
        <v>0.0108492528</v>
      </c>
      <c r="I5" s="4" t="n">
        <f aca="false">ROUND(D5*H5,2)</f>
        <v>6713068.46</v>
      </c>
      <c r="J5" s="4" t="n">
        <f aca="false">ROUND(E5-I5,2)</f>
        <v>-0.03</v>
      </c>
    </row>
    <row r="6" customFormat="false" ht="15" hidden="false" customHeight="false" outlineLevel="0" collapsed="false">
      <c r="A6" s="0" t="s">
        <v>118</v>
      </c>
      <c r="B6" s="0" t="s">
        <v>119</v>
      </c>
      <c r="C6" s="0" t="s">
        <v>124</v>
      </c>
      <c r="D6" s="0" t="n">
        <v>619185364.63</v>
      </c>
      <c r="E6" s="0" t="n">
        <v>6717698.52</v>
      </c>
      <c r="F6" s="0" t="n">
        <v>0.0873</v>
      </c>
      <c r="G6" s="0" t="n">
        <v>0.0873</v>
      </c>
      <c r="H6" s="0" t="n">
        <v>0.0108492528</v>
      </c>
      <c r="I6" s="4" t="n">
        <f aca="false">ROUND(D6*H6,2)</f>
        <v>6717698.55</v>
      </c>
      <c r="J6" s="4" t="n">
        <f aca="false">ROUND(E6-I6,2)</f>
        <v>-0.03</v>
      </c>
    </row>
    <row r="7" customFormat="false" ht="15" hidden="false" customHeight="false" outlineLevel="0" collapsed="false">
      <c r="A7" s="0" t="s">
        <v>118</v>
      </c>
      <c r="B7" s="0" t="s">
        <v>119</v>
      </c>
      <c r="C7" s="0" t="s">
        <v>125</v>
      </c>
      <c r="D7" s="0" t="n">
        <v>619533854.96</v>
      </c>
      <c r="E7" s="0" t="n">
        <v>6721479.38</v>
      </c>
      <c r="F7" s="0" t="n">
        <v>0.0873</v>
      </c>
      <c r="G7" s="0" t="n">
        <v>0.0873</v>
      </c>
      <c r="H7" s="0" t="n">
        <v>0.0108492528</v>
      </c>
      <c r="I7" s="4" t="n">
        <f aca="false">ROUND(D7*H7,2)</f>
        <v>6721479.41</v>
      </c>
      <c r="J7" s="4" t="n">
        <f aca="false">ROUND(E7-I7,2)</f>
        <v>-0.03</v>
      </c>
    </row>
    <row r="8" customFormat="false" ht="15" hidden="false" customHeight="false" outlineLevel="0" collapsed="false">
      <c r="A8" s="0" t="s">
        <v>118</v>
      </c>
      <c r="B8" s="0" t="s">
        <v>119</v>
      </c>
      <c r="C8" s="0" t="s">
        <v>126</v>
      </c>
      <c r="D8" s="0" t="n">
        <v>619916790.99</v>
      </c>
      <c r="E8" s="0" t="n">
        <v>6725633.95</v>
      </c>
      <c r="F8" s="0" t="n">
        <v>0.0873</v>
      </c>
      <c r="G8" s="0" t="n">
        <v>0.0873</v>
      </c>
      <c r="H8" s="0" t="n">
        <v>0.0108492528</v>
      </c>
      <c r="I8" s="4" t="n">
        <f aca="false">ROUND(D8*H8,2)</f>
        <v>6725633.98</v>
      </c>
      <c r="J8" s="4" t="n">
        <f aca="false">ROUND(E8-I8,2)</f>
        <v>-0.03</v>
      </c>
    </row>
    <row r="9" customFormat="false" ht="15" hidden="false" customHeight="false" outlineLevel="0" collapsed="false">
      <c r="A9" s="0" t="s">
        <v>118</v>
      </c>
      <c r="B9" s="0" t="s">
        <v>119</v>
      </c>
      <c r="C9" s="0" t="s">
        <v>127</v>
      </c>
      <c r="D9" s="0" t="n">
        <v>620183134.08</v>
      </c>
      <c r="E9" s="0" t="n">
        <v>6728523.58</v>
      </c>
      <c r="F9" s="0" t="n">
        <v>0.0873</v>
      </c>
      <c r="G9" s="0" t="n">
        <v>0.0873</v>
      </c>
      <c r="H9" s="0" t="n">
        <v>0.0108492528</v>
      </c>
      <c r="I9" s="4" t="n">
        <f aca="false">ROUND(D9*H9,2)</f>
        <v>6728523.6</v>
      </c>
      <c r="J9" s="4" t="n">
        <f aca="false">ROUND(E9-I9,2)</f>
        <v>-0.02</v>
      </c>
    </row>
    <row r="10" customFormat="false" ht="15" hidden="false" customHeight="false" outlineLevel="0" collapsed="false">
      <c r="A10" s="0" t="s">
        <v>118</v>
      </c>
      <c r="B10" s="0" t="s">
        <v>119</v>
      </c>
      <c r="C10" s="0" t="s">
        <v>128</v>
      </c>
      <c r="D10" s="0" t="n">
        <v>620540504.08</v>
      </c>
      <c r="E10" s="0" t="n">
        <v>6732400.77</v>
      </c>
      <c r="F10" s="0" t="n">
        <v>0.0873</v>
      </c>
      <c r="G10" s="0" t="n">
        <v>0.0873</v>
      </c>
      <c r="H10" s="0" t="n">
        <v>0.0108492528</v>
      </c>
      <c r="I10" s="4" t="n">
        <f aca="false">ROUND(D10*H10,2)</f>
        <v>6732400.8</v>
      </c>
      <c r="J10" s="4" t="n">
        <f aca="false">ROUND(E10-I10,2)</f>
        <v>-0.03</v>
      </c>
    </row>
    <row r="11" customFormat="false" ht="15" hidden="false" customHeight="false" outlineLevel="0" collapsed="false">
      <c r="A11" s="0" t="s">
        <v>118</v>
      </c>
      <c r="B11" s="0" t="s">
        <v>119</v>
      </c>
      <c r="C11" s="0" t="s">
        <v>129</v>
      </c>
      <c r="D11" s="0" t="n">
        <v>621491664.96</v>
      </c>
      <c r="E11" s="0" t="n">
        <v>6742720.16</v>
      </c>
      <c r="F11" s="0" t="n">
        <v>0.0873</v>
      </c>
      <c r="G11" s="0" t="n">
        <v>0.0873</v>
      </c>
      <c r="H11" s="0" t="n">
        <v>0.0108492528</v>
      </c>
      <c r="I11" s="4" t="n">
        <f aca="false">ROUND(D11*H11,2)</f>
        <v>6742720.19</v>
      </c>
      <c r="J11" s="4" t="n">
        <f aca="false">ROUND(E11-I11,2)</f>
        <v>-0.03</v>
      </c>
    </row>
    <row r="12" customFormat="false" ht="15" hidden="false" customHeight="false" outlineLevel="0" collapsed="false">
      <c r="A12" s="0" t="s">
        <v>118</v>
      </c>
      <c r="B12" s="0" t="s">
        <v>119</v>
      </c>
      <c r="C12" s="0" t="s">
        <v>130</v>
      </c>
      <c r="D12" s="0" t="n">
        <v>622411952.06</v>
      </c>
      <c r="E12" s="0" t="n">
        <v>6752704.59</v>
      </c>
      <c r="F12" s="0" t="n">
        <v>0.0873</v>
      </c>
      <c r="G12" s="0" t="n">
        <v>0.0873</v>
      </c>
      <c r="H12" s="0" t="n">
        <v>0.0108492528</v>
      </c>
      <c r="I12" s="4" t="n">
        <f aca="false">ROUND(D12*H12,2)</f>
        <v>6752704.61</v>
      </c>
      <c r="J12" s="4" t="n">
        <f aca="false">ROUND(E12-I12,2)</f>
        <v>-0.02</v>
      </c>
    </row>
    <row r="13" customFormat="false" ht="15" hidden="false" customHeight="false" outlineLevel="0" collapsed="false">
      <c r="A13" s="0" t="s">
        <v>118</v>
      </c>
      <c r="B13" s="0" t="s">
        <v>119</v>
      </c>
      <c r="C13" s="0" t="s">
        <v>131</v>
      </c>
      <c r="D13" s="0" t="n">
        <v>622846605.06</v>
      </c>
      <c r="E13" s="0" t="n">
        <v>6757420.25</v>
      </c>
      <c r="F13" s="0" t="n">
        <v>0.0873</v>
      </c>
      <c r="G13" s="0" t="n">
        <v>0.0873</v>
      </c>
      <c r="H13" s="0" t="n">
        <v>0.0108492528</v>
      </c>
      <c r="I13" s="4" t="n">
        <f aca="false">ROUND(D13*H13,2)</f>
        <v>6757420.27</v>
      </c>
      <c r="J13" s="4" t="n">
        <f aca="false">ROUND(E13-I13,2)</f>
        <v>-0.02</v>
      </c>
    </row>
    <row r="14" customFormat="false" ht="15" hidden="false" customHeight="false" outlineLevel="0" collapsed="false">
      <c r="A14" s="0" t="s">
        <v>132</v>
      </c>
      <c r="B14" s="0" t="s">
        <v>119</v>
      </c>
      <c r="C14" s="0" t="s">
        <v>120</v>
      </c>
      <c r="D14" s="0" t="n">
        <v>488178893.09</v>
      </c>
      <c r="E14" s="0" t="n">
        <v>3922927.23</v>
      </c>
      <c r="F14" s="0" t="n">
        <v>0.0526</v>
      </c>
      <c r="G14" s="0" t="n">
        <v>0.0526</v>
      </c>
      <c r="H14" s="0" t="n">
        <v>0.0080358395</v>
      </c>
      <c r="I14" s="4" t="n">
        <f aca="false">ROUND(D14*H14,2)</f>
        <v>3922927.23</v>
      </c>
      <c r="J14" s="4" t="n">
        <f aca="false">ROUND(E14-I14,2)</f>
        <v>0</v>
      </c>
    </row>
    <row r="15" customFormat="false" ht="15" hidden="false" customHeight="false" outlineLevel="0" collapsed="false">
      <c r="A15" s="0" t="s">
        <v>132</v>
      </c>
      <c r="B15" s="0" t="s">
        <v>119</v>
      </c>
      <c r="C15" s="0" t="s">
        <v>121</v>
      </c>
      <c r="D15" s="0" t="n">
        <v>492246589.33</v>
      </c>
      <c r="E15" s="0" t="n">
        <v>3955614.58</v>
      </c>
      <c r="F15" s="0" t="n">
        <v>0.0526</v>
      </c>
      <c r="G15" s="0" t="n">
        <v>0.0526</v>
      </c>
      <c r="H15" s="0" t="n">
        <v>0.0080358395</v>
      </c>
      <c r="I15" s="4" t="n">
        <f aca="false">ROUND(D15*H15,2)</f>
        <v>3955614.59</v>
      </c>
      <c r="J15" s="4" t="n">
        <f aca="false">ROUND(E15-I15,2)</f>
        <v>-0.01</v>
      </c>
    </row>
    <row r="16" customFormat="false" ht="15" hidden="false" customHeight="false" outlineLevel="0" collapsed="false">
      <c r="A16" s="0" t="s">
        <v>132</v>
      </c>
      <c r="B16" s="0" t="s">
        <v>119</v>
      </c>
      <c r="C16" s="0" t="s">
        <v>122</v>
      </c>
      <c r="D16" s="0" t="n">
        <v>496675996.66</v>
      </c>
      <c r="E16" s="0" t="n">
        <v>3991208.59</v>
      </c>
      <c r="F16" s="0" t="n">
        <v>0.0526</v>
      </c>
      <c r="G16" s="0" t="n">
        <v>0.0526</v>
      </c>
      <c r="H16" s="0" t="n">
        <v>0.0080358395</v>
      </c>
      <c r="I16" s="4" t="n">
        <f aca="false">ROUND(D16*H16,2)</f>
        <v>3991208.59</v>
      </c>
      <c r="J16" s="4" t="n">
        <f aca="false">ROUND(E16-I16,2)</f>
        <v>0</v>
      </c>
    </row>
    <row r="17" customFormat="false" ht="15" hidden="false" customHeight="false" outlineLevel="0" collapsed="false">
      <c r="A17" s="0" t="s">
        <v>132</v>
      </c>
      <c r="B17" s="0" t="s">
        <v>119</v>
      </c>
      <c r="C17" s="0" t="s">
        <v>123</v>
      </c>
      <c r="D17" s="0" t="n">
        <v>501904507.63</v>
      </c>
      <c r="E17" s="0" t="n">
        <v>4033224.06</v>
      </c>
      <c r="F17" s="0" t="n">
        <v>0.0526</v>
      </c>
      <c r="G17" s="0" t="n">
        <v>0.0526</v>
      </c>
      <c r="H17" s="0" t="n">
        <v>0.0080358395</v>
      </c>
      <c r="I17" s="4" t="n">
        <f aca="false">ROUND(D17*H17,2)</f>
        <v>4033224.07</v>
      </c>
      <c r="J17" s="4" t="n">
        <f aca="false">ROUND(E17-I17,2)</f>
        <v>-0.01</v>
      </c>
    </row>
    <row r="18" customFormat="false" ht="15" hidden="false" customHeight="false" outlineLevel="0" collapsed="false">
      <c r="A18" s="0" t="s">
        <v>132</v>
      </c>
      <c r="B18" s="0" t="s">
        <v>119</v>
      </c>
      <c r="C18" s="0" t="s">
        <v>124</v>
      </c>
      <c r="D18" s="0" t="n">
        <v>507728907.54</v>
      </c>
      <c r="E18" s="0" t="n">
        <v>4080028</v>
      </c>
      <c r="F18" s="0" t="n">
        <v>0.0526</v>
      </c>
      <c r="G18" s="0" t="n">
        <v>0.0526</v>
      </c>
      <c r="H18" s="0" t="n">
        <v>0.0080358395</v>
      </c>
      <c r="I18" s="4" t="n">
        <f aca="false">ROUND(D18*H18,2)</f>
        <v>4080028.01</v>
      </c>
      <c r="J18" s="4" t="n">
        <f aca="false">ROUND(E18-I18,2)</f>
        <v>-0.01</v>
      </c>
    </row>
    <row r="19" customFormat="false" ht="15" hidden="false" customHeight="false" outlineLevel="0" collapsed="false">
      <c r="A19" s="0" t="s">
        <v>132</v>
      </c>
      <c r="B19" s="0" t="s">
        <v>119</v>
      </c>
      <c r="C19" s="0" t="s">
        <v>125</v>
      </c>
      <c r="D19" s="0" t="n">
        <v>512793074.78</v>
      </c>
      <c r="E19" s="0" t="n">
        <v>4120722.84</v>
      </c>
      <c r="F19" s="0" t="n">
        <v>0.0526</v>
      </c>
      <c r="G19" s="0" t="n">
        <v>0.0526</v>
      </c>
      <c r="H19" s="0" t="n">
        <v>0.0080358395</v>
      </c>
      <c r="I19" s="4" t="n">
        <f aca="false">ROUND(D19*H19,2)</f>
        <v>4120722.85</v>
      </c>
      <c r="J19" s="4" t="n">
        <f aca="false">ROUND(E19-I19,2)</f>
        <v>-0.01</v>
      </c>
    </row>
    <row r="20" customFormat="false" ht="15" hidden="false" customHeight="false" outlineLevel="0" collapsed="false">
      <c r="A20" s="0" t="s">
        <v>132</v>
      </c>
      <c r="B20" s="0" t="s">
        <v>119</v>
      </c>
      <c r="C20" s="0" t="s">
        <v>126</v>
      </c>
      <c r="D20" s="0" t="n">
        <v>517911290.62</v>
      </c>
      <c r="E20" s="0" t="n">
        <v>4161852</v>
      </c>
      <c r="F20" s="0" t="n">
        <v>0.0526</v>
      </c>
      <c r="G20" s="0" t="n">
        <v>0.0526</v>
      </c>
      <c r="H20" s="0" t="n">
        <v>0.0080358395</v>
      </c>
      <c r="I20" s="4" t="n">
        <f aca="false">ROUND(D20*H20,2)</f>
        <v>4161852.01</v>
      </c>
      <c r="J20" s="4" t="n">
        <f aca="false">ROUND(E20-I20,2)</f>
        <v>-0.01</v>
      </c>
    </row>
    <row r="21" customFormat="false" ht="15" hidden="false" customHeight="false" outlineLevel="0" collapsed="false">
      <c r="A21" s="0" t="s">
        <v>132</v>
      </c>
      <c r="B21" s="0" t="s">
        <v>119</v>
      </c>
      <c r="C21" s="0" t="s">
        <v>127</v>
      </c>
      <c r="D21" s="0" t="n">
        <v>523614736.72</v>
      </c>
      <c r="E21" s="0" t="n">
        <v>4207683.98</v>
      </c>
      <c r="F21" s="0" t="n">
        <v>0.0526</v>
      </c>
      <c r="G21" s="0" t="n">
        <v>0.0526</v>
      </c>
      <c r="H21" s="0" t="n">
        <v>0.0080358395</v>
      </c>
      <c r="I21" s="4" t="n">
        <f aca="false">ROUND(D21*H21,2)</f>
        <v>4207683.98</v>
      </c>
      <c r="J21" s="4" t="n">
        <f aca="false">ROUND(E21-I21,2)</f>
        <v>0</v>
      </c>
    </row>
    <row r="22" customFormat="false" ht="15" hidden="false" customHeight="false" outlineLevel="0" collapsed="false">
      <c r="A22" s="0" t="s">
        <v>132</v>
      </c>
      <c r="B22" s="0" t="s">
        <v>119</v>
      </c>
      <c r="C22" s="0" t="s">
        <v>128</v>
      </c>
      <c r="D22" s="0" t="n">
        <v>528456421.79</v>
      </c>
      <c r="E22" s="0" t="n">
        <v>4246590.98</v>
      </c>
      <c r="F22" s="0" t="n">
        <v>0.0526</v>
      </c>
      <c r="G22" s="0" t="n">
        <v>0.0526</v>
      </c>
      <c r="H22" s="0" t="n">
        <v>0.0080358395</v>
      </c>
      <c r="I22" s="4" t="n">
        <f aca="false">ROUND(D22*H22,2)</f>
        <v>4246590.99</v>
      </c>
      <c r="J22" s="4" t="n">
        <f aca="false">ROUND(E22-I22,2)</f>
        <v>-0.01</v>
      </c>
    </row>
    <row r="23" customFormat="false" ht="15" hidden="false" customHeight="false" outlineLevel="0" collapsed="false">
      <c r="A23" s="0" t="s">
        <v>132</v>
      </c>
      <c r="B23" s="0" t="s">
        <v>119</v>
      </c>
      <c r="C23" s="0" t="s">
        <v>129</v>
      </c>
      <c r="D23" s="0" t="n">
        <v>533163441.08</v>
      </c>
      <c r="E23" s="0" t="n">
        <v>4284415.83</v>
      </c>
      <c r="F23" s="0" t="n">
        <v>0.0526</v>
      </c>
      <c r="G23" s="0" t="n">
        <v>0.0526</v>
      </c>
      <c r="H23" s="0" t="n">
        <v>0.0080358395</v>
      </c>
      <c r="I23" s="4" t="n">
        <f aca="false">ROUND(D23*H23,2)</f>
        <v>4284415.84</v>
      </c>
      <c r="J23" s="4" t="n">
        <f aca="false">ROUND(E23-I23,2)</f>
        <v>-0.01</v>
      </c>
    </row>
    <row r="24" customFormat="false" ht="15" hidden="false" customHeight="false" outlineLevel="0" collapsed="false">
      <c r="A24" s="0" t="s">
        <v>132</v>
      </c>
      <c r="B24" s="0" t="s">
        <v>119</v>
      </c>
      <c r="C24" s="0" t="s">
        <v>130</v>
      </c>
      <c r="D24" s="0" t="n">
        <v>538283518.1</v>
      </c>
      <c r="E24" s="0" t="n">
        <v>4325559.95</v>
      </c>
      <c r="F24" s="0" t="n">
        <v>0.0526</v>
      </c>
      <c r="G24" s="0" t="n">
        <v>0.0526</v>
      </c>
      <c r="H24" s="0" t="n">
        <v>0.0080358395</v>
      </c>
      <c r="I24" s="4" t="n">
        <f aca="false">ROUND(D24*H24,2)</f>
        <v>4325559.96</v>
      </c>
      <c r="J24" s="4" t="n">
        <f aca="false">ROUND(E24-I24,2)</f>
        <v>-0.01</v>
      </c>
    </row>
    <row r="25" customFormat="false" ht="15" hidden="false" customHeight="false" outlineLevel="0" collapsed="false">
      <c r="A25" s="0" t="s">
        <v>132</v>
      </c>
      <c r="B25" s="0" t="s">
        <v>119</v>
      </c>
      <c r="C25" s="0" t="s">
        <v>131</v>
      </c>
      <c r="D25" s="0" t="n">
        <v>543512678.26</v>
      </c>
      <c r="E25" s="0" t="n">
        <v>4367580.64</v>
      </c>
      <c r="F25" s="0" t="n">
        <v>0.0526</v>
      </c>
      <c r="G25" s="0" t="n">
        <v>0.0526</v>
      </c>
      <c r="H25" s="0" t="n">
        <v>0.0080358395</v>
      </c>
      <c r="I25" s="4" t="n">
        <f aca="false">ROUND(D25*H25,2)</f>
        <v>4367580.65</v>
      </c>
      <c r="J25" s="4" t="n">
        <f aca="false">ROUND(E25-I25,2)</f>
        <v>-0.01</v>
      </c>
    </row>
    <row r="26" customFormat="false" ht="15" hidden="false" customHeight="false" outlineLevel="0" collapsed="false">
      <c r="A26" s="0" t="s">
        <v>133</v>
      </c>
      <c r="B26" s="0" t="s">
        <v>119</v>
      </c>
      <c r="C26" s="0" t="s">
        <v>120</v>
      </c>
      <c r="D26" s="0" t="n">
        <v>159487752.06</v>
      </c>
      <c r="E26" s="0" t="n">
        <v>1495349.48</v>
      </c>
      <c r="F26" s="0" t="n">
        <v>0.069</v>
      </c>
      <c r="G26" s="0" t="n">
        <v>0.069</v>
      </c>
      <c r="H26" s="0" t="n">
        <v>0.0093759518</v>
      </c>
      <c r="I26" s="4" t="n">
        <f aca="false">ROUND(D26*H26,2)</f>
        <v>1495349.48</v>
      </c>
      <c r="J26" s="4" t="n">
        <f aca="false">ROUND(E26-I26,2)</f>
        <v>0</v>
      </c>
    </row>
    <row r="27" customFormat="false" ht="15" hidden="false" customHeight="false" outlineLevel="0" collapsed="false">
      <c r="A27" s="0" t="s">
        <v>133</v>
      </c>
      <c r="B27" s="0" t="s">
        <v>119</v>
      </c>
      <c r="C27" s="0" t="s">
        <v>121</v>
      </c>
      <c r="D27" s="0" t="n">
        <v>159665225.41</v>
      </c>
      <c r="E27" s="0" t="n">
        <v>1497013.46</v>
      </c>
      <c r="F27" s="0" t="n">
        <v>0.069</v>
      </c>
      <c r="G27" s="0" t="n">
        <v>0.069</v>
      </c>
      <c r="H27" s="0" t="n">
        <v>0.0093759518</v>
      </c>
      <c r="I27" s="4" t="n">
        <f aca="false">ROUND(D27*H27,2)</f>
        <v>1497013.46</v>
      </c>
      <c r="J27" s="4" t="n">
        <f aca="false">ROUND(E27-I27,2)</f>
        <v>0</v>
      </c>
    </row>
    <row r="28" customFormat="false" ht="15" hidden="false" customHeight="false" outlineLevel="0" collapsed="false">
      <c r="A28" s="0" t="s">
        <v>133</v>
      </c>
      <c r="B28" s="0" t="s">
        <v>119</v>
      </c>
      <c r="C28" s="0" t="s">
        <v>122</v>
      </c>
      <c r="D28" s="0" t="n">
        <v>159871298.44</v>
      </c>
      <c r="E28" s="0" t="n">
        <v>1498945.59</v>
      </c>
      <c r="F28" s="0" t="n">
        <v>0.069</v>
      </c>
      <c r="G28" s="0" t="n">
        <v>0.069</v>
      </c>
      <c r="H28" s="0" t="n">
        <v>0.0093759518</v>
      </c>
      <c r="I28" s="4" t="n">
        <f aca="false">ROUND(D28*H28,2)</f>
        <v>1498945.59</v>
      </c>
      <c r="J28" s="4" t="n">
        <f aca="false">ROUND(E28-I28,2)</f>
        <v>0</v>
      </c>
    </row>
    <row r="29" customFormat="false" ht="15" hidden="false" customHeight="false" outlineLevel="0" collapsed="false">
      <c r="A29" s="0" t="s">
        <v>133</v>
      </c>
      <c r="B29" s="0" t="s">
        <v>119</v>
      </c>
      <c r="C29" s="0" t="s">
        <v>123</v>
      </c>
      <c r="D29" s="0" t="n">
        <v>159970817.18</v>
      </c>
      <c r="E29" s="0" t="n">
        <v>1499878.67</v>
      </c>
      <c r="F29" s="0" t="n">
        <v>0.069</v>
      </c>
      <c r="G29" s="0" t="n">
        <v>0.069</v>
      </c>
      <c r="H29" s="0" t="n">
        <v>0.0093759518</v>
      </c>
      <c r="I29" s="4" t="n">
        <f aca="false">ROUND(D29*H29,2)</f>
        <v>1499878.67</v>
      </c>
      <c r="J29" s="4" t="n">
        <f aca="false">ROUND(E29-I29,2)</f>
        <v>0</v>
      </c>
    </row>
    <row r="30" customFormat="false" ht="15" hidden="false" customHeight="false" outlineLevel="0" collapsed="false">
      <c r="A30" s="0" t="s">
        <v>133</v>
      </c>
      <c r="B30" s="0" t="s">
        <v>119</v>
      </c>
      <c r="C30" s="0" t="s">
        <v>124</v>
      </c>
      <c r="D30" s="0" t="n">
        <v>160206805.42</v>
      </c>
      <c r="E30" s="0" t="n">
        <v>1502091.29</v>
      </c>
      <c r="F30" s="0" t="n">
        <v>0.069</v>
      </c>
      <c r="G30" s="0" t="n">
        <v>0.069</v>
      </c>
      <c r="H30" s="0" t="n">
        <v>0.0093759518</v>
      </c>
      <c r="I30" s="4" t="n">
        <f aca="false">ROUND(D30*H30,2)</f>
        <v>1502091.29</v>
      </c>
      <c r="J30" s="4" t="n">
        <f aca="false">ROUND(E30-I30,2)</f>
        <v>0</v>
      </c>
    </row>
    <row r="31" customFormat="false" ht="15" hidden="false" customHeight="false" outlineLevel="0" collapsed="false">
      <c r="A31" s="0" t="s">
        <v>133</v>
      </c>
      <c r="B31" s="0" t="s">
        <v>119</v>
      </c>
      <c r="C31" s="0" t="s">
        <v>125</v>
      </c>
      <c r="D31" s="0" t="n">
        <v>160535678.23</v>
      </c>
      <c r="E31" s="0" t="n">
        <v>1505174.78</v>
      </c>
      <c r="F31" s="0" t="n">
        <v>0.069</v>
      </c>
      <c r="G31" s="0" t="n">
        <v>0.069</v>
      </c>
      <c r="H31" s="0" t="n">
        <v>0.0093759518</v>
      </c>
      <c r="I31" s="4" t="n">
        <f aca="false">ROUND(D31*H31,2)</f>
        <v>1505174.78</v>
      </c>
      <c r="J31" s="4" t="n">
        <f aca="false">ROUND(E31-I31,2)</f>
        <v>0</v>
      </c>
    </row>
    <row r="32" customFormat="false" ht="15" hidden="false" customHeight="false" outlineLevel="0" collapsed="false">
      <c r="A32" s="0" t="s">
        <v>133</v>
      </c>
      <c r="B32" s="0" t="s">
        <v>119</v>
      </c>
      <c r="C32" s="0" t="s">
        <v>126</v>
      </c>
      <c r="D32" s="0" t="n">
        <v>160860570.03</v>
      </c>
      <c r="E32" s="0" t="n">
        <v>1508220.95</v>
      </c>
      <c r="F32" s="0" t="n">
        <v>0.069</v>
      </c>
      <c r="G32" s="0" t="n">
        <v>0.069</v>
      </c>
      <c r="H32" s="0" t="n">
        <v>0.0093759518</v>
      </c>
      <c r="I32" s="4" t="n">
        <f aca="false">ROUND(D32*H32,2)</f>
        <v>1508220.95</v>
      </c>
      <c r="J32" s="4" t="n">
        <f aca="false">ROUND(E32-I32,2)</f>
        <v>0</v>
      </c>
    </row>
    <row r="33" customFormat="false" ht="15" hidden="false" customHeight="false" outlineLevel="0" collapsed="false">
      <c r="A33" s="0" t="s">
        <v>133</v>
      </c>
      <c r="B33" s="0" t="s">
        <v>119</v>
      </c>
      <c r="C33" s="0" t="s">
        <v>127</v>
      </c>
      <c r="D33" s="0" t="n">
        <v>161181621.04</v>
      </c>
      <c r="E33" s="0" t="n">
        <v>1511231.11</v>
      </c>
      <c r="F33" s="0" t="n">
        <v>0.069</v>
      </c>
      <c r="G33" s="0" t="n">
        <v>0.069</v>
      </c>
      <c r="H33" s="0" t="n">
        <v>0.0093759518</v>
      </c>
      <c r="I33" s="4" t="n">
        <f aca="false">ROUND(D33*H33,2)</f>
        <v>1511231.11</v>
      </c>
      <c r="J33" s="4" t="n">
        <f aca="false">ROUND(E33-I33,2)</f>
        <v>0</v>
      </c>
    </row>
    <row r="34" customFormat="false" ht="15" hidden="false" customHeight="false" outlineLevel="0" collapsed="false">
      <c r="A34" s="0" t="s">
        <v>133</v>
      </c>
      <c r="B34" s="0" t="s">
        <v>119</v>
      </c>
      <c r="C34" s="0" t="s">
        <v>128</v>
      </c>
      <c r="D34" s="0" t="n">
        <v>161365126.45</v>
      </c>
      <c r="E34" s="0" t="n">
        <v>1512951.65</v>
      </c>
      <c r="F34" s="0" t="n">
        <v>0.069</v>
      </c>
      <c r="G34" s="0" t="n">
        <v>0.069</v>
      </c>
      <c r="H34" s="0" t="n">
        <v>0.0093759518</v>
      </c>
      <c r="I34" s="4" t="n">
        <f aca="false">ROUND(D34*H34,2)</f>
        <v>1512951.65</v>
      </c>
      <c r="J34" s="4" t="n">
        <f aca="false">ROUND(E34-I34,2)</f>
        <v>0</v>
      </c>
    </row>
    <row r="35" customFormat="false" ht="15" hidden="false" customHeight="false" outlineLevel="0" collapsed="false">
      <c r="A35" s="0" t="s">
        <v>133</v>
      </c>
      <c r="B35" s="0" t="s">
        <v>119</v>
      </c>
      <c r="C35" s="0" t="s">
        <v>129</v>
      </c>
      <c r="D35" s="0" t="n">
        <v>161518369.21</v>
      </c>
      <c r="E35" s="0" t="n">
        <v>1514388.45</v>
      </c>
      <c r="F35" s="0" t="n">
        <v>0.069</v>
      </c>
      <c r="G35" s="0" t="n">
        <v>0.069</v>
      </c>
      <c r="H35" s="0" t="n">
        <v>0.0093759518</v>
      </c>
      <c r="I35" s="4" t="n">
        <f aca="false">ROUND(D35*H35,2)</f>
        <v>1514388.44</v>
      </c>
      <c r="J35" s="4" t="n">
        <f aca="false">ROUND(E35-I35,2)</f>
        <v>0.01</v>
      </c>
    </row>
    <row r="36" customFormat="false" ht="15" hidden="false" customHeight="false" outlineLevel="0" collapsed="false">
      <c r="A36" s="0" t="s">
        <v>133</v>
      </c>
      <c r="B36" s="0" t="s">
        <v>119</v>
      </c>
      <c r="C36" s="0" t="s">
        <v>130</v>
      </c>
      <c r="D36" s="0" t="n">
        <v>161680822.92</v>
      </c>
      <c r="E36" s="0" t="n">
        <v>1515911.6</v>
      </c>
      <c r="F36" s="0" t="n">
        <v>0.069</v>
      </c>
      <c r="G36" s="0" t="n">
        <v>0.069</v>
      </c>
      <c r="H36" s="0" t="n">
        <v>0.0093759518</v>
      </c>
      <c r="I36" s="4" t="n">
        <f aca="false">ROUND(D36*H36,2)</f>
        <v>1515911.6</v>
      </c>
      <c r="J36" s="4" t="n">
        <f aca="false">ROUND(E36-I36,2)</f>
        <v>0</v>
      </c>
    </row>
    <row r="37" customFormat="false" ht="15" hidden="false" customHeight="false" outlineLevel="0" collapsed="false">
      <c r="A37" s="0" t="s">
        <v>133</v>
      </c>
      <c r="B37" s="0" t="s">
        <v>119</v>
      </c>
      <c r="C37" s="0" t="s">
        <v>131</v>
      </c>
      <c r="D37" s="0" t="n">
        <v>161850664.24</v>
      </c>
      <c r="E37" s="0" t="n">
        <v>1517504.03</v>
      </c>
      <c r="F37" s="0" t="n">
        <v>0.069</v>
      </c>
      <c r="G37" s="0" t="n">
        <v>0.069</v>
      </c>
      <c r="H37" s="0" t="n">
        <v>0.0093759518</v>
      </c>
      <c r="I37" s="4" t="n">
        <f aca="false">ROUND(D37*H37,2)</f>
        <v>1517504.03</v>
      </c>
      <c r="J37" s="4" t="n">
        <f aca="false">ROUND(E37-I37,2)</f>
        <v>0</v>
      </c>
    </row>
    <row r="38" customFormat="false" ht="15" hidden="false" customHeight="false" outlineLevel="0" collapsed="false">
      <c r="A38" s="0" t="s">
        <v>134</v>
      </c>
      <c r="B38" s="0" t="s">
        <v>119</v>
      </c>
      <c r="C38" s="0" t="s">
        <v>120</v>
      </c>
      <c r="D38" s="0" t="n">
        <v>561271961.92</v>
      </c>
      <c r="E38" s="0" t="n">
        <v>4237064.97</v>
      </c>
      <c r="F38" s="0" t="n">
        <v>0.0467</v>
      </c>
      <c r="G38" s="0" t="n">
        <v>0.0467</v>
      </c>
      <c r="H38" s="0" t="n">
        <v>0.0075490408</v>
      </c>
      <c r="I38" s="4" t="n">
        <f aca="false">ROUND(D38*H38,2)</f>
        <v>4237064.94</v>
      </c>
      <c r="J38" s="4" t="n">
        <f aca="false">ROUND(E38-I38,2)</f>
        <v>0.03</v>
      </c>
    </row>
    <row r="39" customFormat="false" ht="15" hidden="false" customHeight="false" outlineLevel="0" collapsed="false">
      <c r="A39" s="0" t="s">
        <v>134</v>
      </c>
      <c r="B39" s="0" t="s">
        <v>119</v>
      </c>
      <c r="C39" s="0" t="s">
        <v>121</v>
      </c>
      <c r="D39" s="0" t="n">
        <v>574285349.52</v>
      </c>
      <c r="E39" s="0" t="n">
        <v>4335303.56</v>
      </c>
      <c r="F39" s="0" t="n">
        <v>0.0467</v>
      </c>
      <c r="G39" s="0" t="n">
        <v>0.0467</v>
      </c>
      <c r="H39" s="0" t="n">
        <v>0.0075490408</v>
      </c>
      <c r="I39" s="4" t="n">
        <f aca="false">ROUND(D39*H39,2)</f>
        <v>4335303.53</v>
      </c>
      <c r="J39" s="4" t="n">
        <f aca="false">ROUND(E39-I39,2)</f>
        <v>0.03</v>
      </c>
    </row>
    <row r="40" customFormat="false" ht="15" hidden="false" customHeight="false" outlineLevel="0" collapsed="false">
      <c r="A40" s="0" t="s">
        <v>134</v>
      </c>
      <c r="B40" s="0" t="s">
        <v>119</v>
      </c>
      <c r="C40" s="0" t="s">
        <v>122</v>
      </c>
      <c r="D40" s="0" t="n">
        <v>590339856.75</v>
      </c>
      <c r="E40" s="0" t="n">
        <v>4456499.69</v>
      </c>
      <c r="F40" s="0" t="n">
        <v>0.0467</v>
      </c>
      <c r="G40" s="0" t="n">
        <v>0.0467</v>
      </c>
      <c r="H40" s="0" t="n">
        <v>0.0075490408</v>
      </c>
      <c r="I40" s="4" t="n">
        <f aca="false">ROUND(D40*H40,2)</f>
        <v>4456499.66</v>
      </c>
      <c r="J40" s="4" t="n">
        <f aca="false">ROUND(E40-I40,2)</f>
        <v>0.03</v>
      </c>
    </row>
    <row r="41" customFormat="false" ht="15" hidden="false" customHeight="false" outlineLevel="0" collapsed="false">
      <c r="A41" s="0" t="s">
        <v>134</v>
      </c>
      <c r="B41" s="0" t="s">
        <v>119</v>
      </c>
      <c r="C41" s="0" t="s">
        <v>123</v>
      </c>
      <c r="D41" s="0" t="n">
        <v>608892396.33</v>
      </c>
      <c r="E41" s="0" t="n">
        <v>4596553.57</v>
      </c>
      <c r="F41" s="0" t="n">
        <v>0.0467</v>
      </c>
      <c r="G41" s="0" t="n">
        <v>0.0467</v>
      </c>
      <c r="H41" s="0" t="n">
        <v>0.0075490408</v>
      </c>
      <c r="I41" s="4" t="n">
        <f aca="false">ROUND(D41*H41,2)</f>
        <v>4596553.54</v>
      </c>
      <c r="J41" s="4" t="n">
        <f aca="false">ROUND(E41-I41,2)</f>
        <v>0.03</v>
      </c>
    </row>
    <row r="42" customFormat="false" ht="15" hidden="false" customHeight="false" outlineLevel="0" collapsed="false">
      <c r="A42" s="0" t="s">
        <v>134</v>
      </c>
      <c r="B42" s="0" t="s">
        <v>119</v>
      </c>
      <c r="C42" s="0" t="s">
        <v>124</v>
      </c>
      <c r="D42" s="0" t="n">
        <v>627469907.03</v>
      </c>
      <c r="E42" s="0" t="n">
        <v>4736795.96</v>
      </c>
      <c r="F42" s="0" t="n">
        <v>0.0467</v>
      </c>
      <c r="G42" s="0" t="n">
        <v>0.0467</v>
      </c>
      <c r="H42" s="0" t="n">
        <v>0.0075490408</v>
      </c>
      <c r="I42" s="4" t="n">
        <f aca="false">ROUND(D42*H42,2)</f>
        <v>4736795.93</v>
      </c>
      <c r="J42" s="4" t="n">
        <f aca="false">ROUND(E42-I42,2)</f>
        <v>0.03</v>
      </c>
    </row>
    <row r="43" customFormat="false" ht="15" hidden="false" customHeight="false" outlineLevel="0" collapsed="false">
      <c r="A43" s="0" t="s">
        <v>134</v>
      </c>
      <c r="B43" s="0" t="s">
        <v>119</v>
      </c>
      <c r="C43" s="0" t="s">
        <v>125</v>
      </c>
      <c r="D43" s="0" t="n">
        <v>644240788.3</v>
      </c>
      <c r="E43" s="0" t="n">
        <v>4863400.03</v>
      </c>
      <c r="F43" s="0" t="n">
        <v>0.0467</v>
      </c>
      <c r="G43" s="0" t="n">
        <v>0.0467</v>
      </c>
      <c r="H43" s="0" t="n">
        <v>0.0075490408</v>
      </c>
      <c r="I43" s="4" t="n">
        <f aca="false">ROUND(D43*H43,2)</f>
        <v>4863400</v>
      </c>
      <c r="J43" s="4" t="n">
        <f aca="false">ROUND(E43-I43,2)</f>
        <v>0.03</v>
      </c>
    </row>
    <row r="44" customFormat="false" ht="15" hidden="false" customHeight="false" outlineLevel="0" collapsed="false">
      <c r="A44" s="0" t="s">
        <v>134</v>
      </c>
      <c r="B44" s="0" t="s">
        <v>119</v>
      </c>
      <c r="C44" s="0" t="s">
        <v>126</v>
      </c>
      <c r="D44" s="0" t="n">
        <v>660167165.04</v>
      </c>
      <c r="E44" s="0" t="n">
        <v>4983628.9</v>
      </c>
      <c r="F44" s="0" t="n">
        <v>0.0467</v>
      </c>
      <c r="G44" s="0" t="n">
        <v>0.0467</v>
      </c>
      <c r="H44" s="0" t="n">
        <v>0.0075490408</v>
      </c>
      <c r="I44" s="4" t="n">
        <f aca="false">ROUND(D44*H44,2)</f>
        <v>4983628.86</v>
      </c>
      <c r="J44" s="4" t="n">
        <f aca="false">ROUND(E44-I44,2)</f>
        <v>0.04</v>
      </c>
    </row>
    <row r="45" customFormat="false" ht="15" hidden="false" customHeight="false" outlineLevel="0" collapsed="false">
      <c r="A45" s="0" t="s">
        <v>134</v>
      </c>
      <c r="B45" s="0" t="s">
        <v>119</v>
      </c>
      <c r="C45" s="0" t="s">
        <v>127</v>
      </c>
      <c r="D45" s="0" t="n">
        <v>677505221.38</v>
      </c>
      <c r="E45" s="0" t="n">
        <v>5114514.59</v>
      </c>
      <c r="F45" s="0" t="n">
        <v>0.0467</v>
      </c>
      <c r="G45" s="0" t="n">
        <v>0.0467</v>
      </c>
      <c r="H45" s="0" t="n">
        <v>0.0075490408</v>
      </c>
      <c r="I45" s="4" t="n">
        <f aca="false">ROUND(D45*H45,2)</f>
        <v>5114514.56</v>
      </c>
      <c r="J45" s="4" t="n">
        <f aca="false">ROUND(E45-I45,2)</f>
        <v>0.03</v>
      </c>
    </row>
    <row r="46" customFormat="false" ht="15" hidden="false" customHeight="false" outlineLevel="0" collapsed="false">
      <c r="A46" s="0" t="s">
        <v>134</v>
      </c>
      <c r="B46" s="0" t="s">
        <v>119</v>
      </c>
      <c r="C46" s="0" t="s">
        <v>128</v>
      </c>
      <c r="D46" s="0" t="n">
        <v>697028865.77</v>
      </c>
      <c r="E46" s="0" t="n">
        <v>5261899.38</v>
      </c>
      <c r="F46" s="0" t="n">
        <v>0.0467</v>
      </c>
      <c r="G46" s="0" t="n">
        <v>0.0467</v>
      </c>
      <c r="H46" s="0" t="n">
        <v>0.0075490408</v>
      </c>
      <c r="I46" s="4" t="n">
        <f aca="false">ROUND(D46*H46,2)</f>
        <v>5261899.35</v>
      </c>
      <c r="J46" s="4" t="n">
        <f aca="false">ROUND(E46-I46,2)</f>
        <v>0.03</v>
      </c>
    </row>
    <row r="47" customFormat="false" ht="15" hidden="false" customHeight="false" outlineLevel="0" collapsed="false">
      <c r="A47" s="0" t="s">
        <v>134</v>
      </c>
      <c r="B47" s="0" t="s">
        <v>119</v>
      </c>
      <c r="C47" s="0" t="s">
        <v>129</v>
      </c>
      <c r="D47" s="0" t="n">
        <v>718097968.77</v>
      </c>
      <c r="E47" s="0" t="n">
        <v>5420950.9</v>
      </c>
      <c r="F47" s="0" t="n">
        <v>0.0467</v>
      </c>
      <c r="G47" s="0" t="n">
        <v>0.0467</v>
      </c>
      <c r="H47" s="0" t="n">
        <v>0.0075490408</v>
      </c>
      <c r="I47" s="4" t="n">
        <f aca="false">ROUND(D47*H47,2)</f>
        <v>5420950.86</v>
      </c>
      <c r="J47" s="4" t="n">
        <f aca="false">ROUND(E47-I47,2)</f>
        <v>0.04</v>
      </c>
    </row>
    <row r="48" customFormat="false" ht="15" hidden="false" customHeight="false" outlineLevel="0" collapsed="false">
      <c r="A48" s="0" t="s">
        <v>134</v>
      </c>
      <c r="B48" s="0" t="s">
        <v>119</v>
      </c>
      <c r="C48" s="0" t="s">
        <v>130</v>
      </c>
      <c r="D48" s="0" t="n">
        <v>738543518</v>
      </c>
      <c r="E48" s="0" t="n">
        <v>5575295.19</v>
      </c>
      <c r="F48" s="0" t="n">
        <v>0.0467</v>
      </c>
      <c r="G48" s="0" t="n">
        <v>0.0467</v>
      </c>
      <c r="H48" s="0" t="n">
        <v>0.0075490408</v>
      </c>
      <c r="I48" s="4" t="n">
        <f aca="false">ROUND(D48*H48,2)</f>
        <v>5575295.15</v>
      </c>
      <c r="J48" s="4" t="n">
        <f aca="false">ROUND(E48-I48,2)</f>
        <v>0.04</v>
      </c>
    </row>
    <row r="49" customFormat="false" ht="15" hidden="false" customHeight="false" outlineLevel="0" collapsed="false">
      <c r="A49" s="0" t="s">
        <v>134</v>
      </c>
      <c r="B49" s="0" t="s">
        <v>119</v>
      </c>
      <c r="C49" s="0" t="s">
        <v>131</v>
      </c>
      <c r="D49" s="0" t="n">
        <v>756858401.7</v>
      </c>
      <c r="E49" s="0" t="n">
        <v>5713554.99</v>
      </c>
      <c r="F49" s="0" t="n">
        <v>0.0467</v>
      </c>
      <c r="G49" s="0" t="n">
        <v>0.0467</v>
      </c>
      <c r="H49" s="0" t="n">
        <v>0.0075490408</v>
      </c>
      <c r="I49" s="4" t="n">
        <f aca="false">ROUND(D49*H49,2)</f>
        <v>5713554.95</v>
      </c>
      <c r="J49" s="4" t="n">
        <f aca="false">ROUND(E49-I49,2)</f>
        <v>0.04</v>
      </c>
    </row>
    <row r="50" customFormat="false" ht="15" hidden="false" customHeight="false" outlineLevel="0" collapsed="false">
      <c r="A50" s="0" t="s">
        <v>135</v>
      </c>
      <c r="B50" s="0" t="s">
        <v>119</v>
      </c>
      <c r="C50" s="0" t="s">
        <v>120</v>
      </c>
      <c r="D50" s="0" t="n">
        <v>65565458.8</v>
      </c>
      <c r="E50" s="0" t="n">
        <v>737991.33</v>
      </c>
      <c r="F50" s="0" t="n">
        <v>0.0924</v>
      </c>
      <c r="G50" s="0" t="n">
        <v>0.0924</v>
      </c>
      <c r="H50" s="0" t="n">
        <v>0.0112557945</v>
      </c>
      <c r="I50" s="4" t="n">
        <f aca="false">ROUND(D50*H50,2)</f>
        <v>737991.33</v>
      </c>
      <c r="J50" s="4" t="n">
        <f aca="false">ROUND(E50-I50,2)</f>
        <v>0</v>
      </c>
    </row>
    <row r="51" customFormat="false" ht="15" hidden="false" customHeight="false" outlineLevel="0" collapsed="false">
      <c r="A51" s="0" t="s">
        <v>135</v>
      </c>
      <c r="B51" s="0" t="s">
        <v>119</v>
      </c>
      <c r="C51" s="0" t="s">
        <v>121</v>
      </c>
      <c r="D51" s="0" t="n">
        <v>67452580.56</v>
      </c>
      <c r="E51" s="0" t="n">
        <v>759232.39</v>
      </c>
      <c r="F51" s="0" t="n">
        <v>0.0924</v>
      </c>
      <c r="G51" s="0" t="n">
        <v>0.0924</v>
      </c>
      <c r="H51" s="0" t="n">
        <v>0.0112557945</v>
      </c>
      <c r="I51" s="4" t="n">
        <f aca="false">ROUND(D51*H51,2)</f>
        <v>759232.39</v>
      </c>
      <c r="J51" s="4" t="n">
        <f aca="false">ROUND(E51-I51,2)</f>
        <v>0</v>
      </c>
    </row>
    <row r="52" customFormat="false" ht="15" hidden="false" customHeight="false" outlineLevel="0" collapsed="false">
      <c r="A52" s="0" t="s">
        <v>135</v>
      </c>
      <c r="B52" s="0" t="s">
        <v>119</v>
      </c>
      <c r="C52" s="0" t="s">
        <v>122</v>
      </c>
      <c r="D52" s="0" t="n">
        <v>69383731.26</v>
      </c>
      <c r="E52" s="0" t="n">
        <v>780969.02</v>
      </c>
      <c r="F52" s="0" t="n">
        <v>0.0924</v>
      </c>
      <c r="G52" s="0" t="n">
        <v>0.0924</v>
      </c>
      <c r="H52" s="0" t="n">
        <v>0.0112557945</v>
      </c>
      <c r="I52" s="4" t="n">
        <f aca="false">ROUND(D52*H52,2)</f>
        <v>780969.02</v>
      </c>
      <c r="J52" s="4" t="n">
        <f aca="false">ROUND(E52-I52,2)</f>
        <v>0</v>
      </c>
    </row>
    <row r="53" customFormat="false" ht="15" hidden="false" customHeight="false" outlineLevel="0" collapsed="false">
      <c r="A53" s="0" t="s">
        <v>135</v>
      </c>
      <c r="B53" s="0" t="s">
        <v>119</v>
      </c>
      <c r="C53" s="0" t="s">
        <v>123</v>
      </c>
      <c r="D53" s="0" t="n">
        <v>72084927.44</v>
      </c>
      <c r="E53" s="0" t="n">
        <v>811373.13</v>
      </c>
      <c r="F53" s="0" t="n">
        <v>0.0924</v>
      </c>
      <c r="G53" s="0" t="n">
        <v>0.0924</v>
      </c>
      <c r="H53" s="0" t="n">
        <v>0.0112557945</v>
      </c>
      <c r="I53" s="4" t="n">
        <f aca="false">ROUND(D53*H53,2)</f>
        <v>811373.13</v>
      </c>
      <c r="J53" s="4" t="n">
        <f aca="false">ROUND(E53-I53,2)</f>
        <v>0</v>
      </c>
    </row>
    <row r="54" customFormat="false" ht="15" hidden="false" customHeight="false" outlineLevel="0" collapsed="false">
      <c r="A54" s="0" t="s">
        <v>135</v>
      </c>
      <c r="B54" s="0" t="s">
        <v>119</v>
      </c>
      <c r="C54" s="0" t="s">
        <v>124</v>
      </c>
      <c r="D54" s="0" t="n">
        <v>74727873.62</v>
      </c>
      <c r="E54" s="0" t="n">
        <v>841121.59</v>
      </c>
      <c r="F54" s="0" t="n">
        <v>0.0924</v>
      </c>
      <c r="G54" s="0" t="n">
        <v>0.0924</v>
      </c>
      <c r="H54" s="0" t="n">
        <v>0.0112557945</v>
      </c>
      <c r="I54" s="4" t="n">
        <f aca="false">ROUND(D54*H54,2)</f>
        <v>841121.59</v>
      </c>
      <c r="J54" s="4" t="n">
        <f aca="false">ROUND(E54-I54,2)</f>
        <v>0</v>
      </c>
    </row>
    <row r="55" customFormat="false" ht="15" hidden="false" customHeight="false" outlineLevel="0" collapsed="false">
      <c r="A55" s="0" t="s">
        <v>135</v>
      </c>
      <c r="B55" s="0" t="s">
        <v>119</v>
      </c>
      <c r="C55" s="0" t="s">
        <v>125</v>
      </c>
      <c r="D55" s="0" t="n">
        <v>77130692.1</v>
      </c>
      <c r="E55" s="0" t="n">
        <v>868167.22</v>
      </c>
      <c r="F55" s="0" t="n">
        <v>0.0924</v>
      </c>
      <c r="G55" s="0" t="n">
        <v>0.0924</v>
      </c>
      <c r="H55" s="0" t="n">
        <v>0.0112557945</v>
      </c>
      <c r="I55" s="4" t="n">
        <f aca="false">ROUND(D55*H55,2)</f>
        <v>868167.22</v>
      </c>
      <c r="J55" s="4" t="n">
        <f aca="false">ROUND(E55-I55,2)</f>
        <v>0</v>
      </c>
    </row>
    <row r="56" customFormat="false" ht="15" hidden="false" customHeight="false" outlineLevel="0" collapsed="false">
      <c r="A56" s="0" t="s">
        <v>135</v>
      </c>
      <c r="B56" s="0" t="s">
        <v>119</v>
      </c>
      <c r="C56" s="0" t="s">
        <v>126</v>
      </c>
      <c r="D56" s="0" t="n">
        <v>79757004.64</v>
      </c>
      <c r="E56" s="0" t="n">
        <v>897728.46</v>
      </c>
      <c r="F56" s="0" t="n">
        <v>0.0924</v>
      </c>
      <c r="G56" s="0" t="n">
        <v>0.0924</v>
      </c>
      <c r="H56" s="0" t="n">
        <v>0.0112557945</v>
      </c>
      <c r="I56" s="4" t="n">
        <f aca="false">ROUND(D56*H56,2)</f>
        <v>897728.45</v>
      </c>
      <c r="J56" s="4" t="n">
        <f aca="false">ROUND(E56-I56,2)</f>
        <v>0.01</v>
      </c>
    </row>
    <row r="57" customFormat="false" ht="15" hidden="false" customHeight="false" outlineLevel="0" collapsed="false">
      <c r="A57" s="0" t="s">
        <v>135</v>
      </c>
      <c r="B57" s="0" t="s">
        <v>119</v>
      </c>
      <c r="C57" s="0" t="s">
        <v>127</v>
      </c>
      <c r="D57" s="0" t="n">
        <v>82219158.14</v>
      </c>
      <c r="E57" s="0" t="n">
        <v>925441.95</v>
      </c>
      <c r="F57" s="0" t="n">
        <v>0.0924</v>
      </c>
      <c r="G57" s="0" t="n">
        <v>0.0924</v>
      </c>
      <c r="H57" s="0" t="n">
        <v>0.0112557945</v>
      </c>
      <c r="I57" s="4" t="n">
        <f aca="false">ROUND(D57*H57,2)</f>
        <v>925441.95</v>
      </c>
      <c r="J57" s="4" t="n">
        <f aca="false">ROUND(E57-I57,2)</f>
        <v>0</v>
      </c>
    </row>
    <row r="58" customFormat="false" ht="15" hidden="false" customHeight="false" outlineLevel="0" collapsed="false">
      <c r="A58" s="0" t="s">
        <v>135</v>
      </c>
      <c r="B58" s="0" t="s">
        <v>119</v>
      </c>
      <c r="C58" s="0" t="s">
        <v>128</v>
      </c>
      <c r="D58" s="0" t="n">
        <v>84728961.13</v>
      </c>
      <c r="E58" s="0" t="n">
        <v>953691.78</v>
      </c>
      <c r="F58" s="0" t="n">
        <v>0.0924</v>
      </c>
      <c r="G58" s="0" t="n">
        <v>0.0924</v>
      </c>
      <c r="H58" s="0" t="n">
        <v>0.0112557945</v>
      </c>
      <c r="I58" s="4" t="n">
        <f aca="false">ROUND(D58*H58,2)</f>
        <v>953691.77</v>
      </c>
      <c r="J58" s="4" t="n">
        <f aca="false">ROUND(E58-I58,2)</f>
        <v>0.01</v>
      </c>
    </row>
    <row r="59" customFormat="false" ht="15" hidden="false" customHeight="false" outlineLevel="0" collapsed="false">
      <c r="A59" s="0" t="s">
        <v>135</v>
      </c>
      <c r="B59" s="0" t="s">
        <v>119</v>
      </c>
      <c r="C59" s="0" t="s">
        <v>129</v>
      </c>
      <c r="D59" s="0" t="n">
        <v>87321191.4</v>
      </c>
      <c r="E59" s="0" t="n">
        <v>982869.39</v>
      </c>
      <c r="F59" s="0" t="n">
        <v>0.0924</v>
      </c>
      <c r="G59" s="0" t="n">
        <v>0.0924</v>
      </c>
      <c r="H59" s="0" t="n">
        <v>0.0112557945</v>
      </c>
      <c r="I59" s="4" t="n">
        <f aca="false">ROUND(D59*H59,2)</f>
        <v>982869.39</v>
      </c>
      <c r="J59" s="4" t="n">
        <f aca="false">ROUND(E59-I59,2)</f>
        <v>0</v>
      </c>
    </row>
    <row r="60" customFormat="false" ht="15" hidden="false" customHeight="false" outlineLevel="0" collapsed="false">
      <c r="A60" s="0" t="s">
        <v>135</v>
      </c>
      <c r="B60" s="0" t="s">
        <v>119</v>
      </c>
      <c r="C60" s="0" t="s">
        <v>130</v>
      </c>
      <c r="D60" s="0" t="n">
        <v>90339343.16</v>
      </c>
      <c r="E60" s="0" t="n">
        <v>1016841.08</v>
      </c>
      <c r="F60" s="0" t="n">
        <v>0.0924</v>
      </c>
      <c r="G60" s="0" t="n">
        <v>0.0924</v>
      </c>
      <c r="H60" s="0" t="n">
        <v>0.0112557945</v>
      </c>
      <c r="I60" s="4" t="n">
        <f aca="false">ROUND(D60*H60,2)</f>
        <v>1016841.08</v>
      </c>
      <c r="J60" s="4" t="n">
        <f aca="false">ROUND(E60-I60,2)</f>
        <v>0</v>
      </c>
    </row>
    <row r="61" customFormat="false" ht="15" hidden="false" customHeight="false" outlineLevel="0" collapsed="false">
      <c r="A61" s="0" t="s">
        <v>135</v>
      </c>
      <c r="B61" s="0" t="s">
        <v>119</v>
      </c>
      <c r="C61" s="0" t="s">
        <v>131</v>
      </c>
      <c r="D61" s="0" t="n">
        <v>93293822.98</v>
      </c>
      <c r="E61" s="0" t="n">
        <v>1050096.1</v>
      </c>
      <c r="F61" s="0" t="n">
        <v>0.0924</v>
      </c>
      <c r="G61" s="0" t="n">
        <v>0.0924</v>
      </c>
      <c r="H61" s="0" t="n">
        <v>0.0112557945</v>
      </c>
      <c r="I61" s="4" t="n">
        <f aca="false">ROUND(D61*H61,2)</f>
        <v>1050096.1</v>
      </c>
      <c r="J61" s="4" t="n">
        <f aca="false">ROUND(E61-I61,2)</f>
        <v>0</v>
      </c>
    </row>
    <row r="62" customFormat="false" ht="15" hidden="false" customHeight="false" outlineLevel="0" collapsed="false">
      <c r="A62" s="0" t="s">
        <v>136</v>
      </c>
      <c r="B62" s="0" t="s">
        <v>119</v>
      </c>
      <c r="C62" s="0" t="s">
        <v>120</v>
      </c>
      <c r="D62" s="0" t="n">
        <v>944049728.89</v>
      </c>
      <c r="E62" s="0" t="n">
        <v>10208495.6</v>
      </c>
      <c r="F62" s="0" t="n">
        <v>0.0689</v>
      </c>
      <c r="G62" s="0" t="n">
        <v>0.0689</v>
      </c>
      <c r="H62" s="0" t="n">
        <v>0.0108135147</v>
      </c>
      <c r="I62" s="4" t="n">
        <f aca="false">ROUND(D62*H62,2)</f>
        <v>10208495.62</v>
      </c>
      <c r="J62" s="4" t="n">
        <f aca="false">ROUND(E62-I62,2)</f>
        <v>-0.02</v>
      </c>
    </row>
    <row r="63" customFormat="false" ht="15" hidden="false" customHeight="false" outlineLevel="0" collapsed="false">
      <c r="A63" s="0" t="s">
        <v>136</v>
      </c>
      <c r="B63" s="0" t="s">
        <v>119</v>
      </c>
      <c r="C63" s="0" t="s">
        <v>121</v>
      </c>
      <c r="D63" s="0" t="n">
        <v>1031816043.37</v>
      </c>
      <c r="E63" s="0" t="n">
        <v>11157557.93</v>
      </c>
      <c r="F63" s="0" t="n">
        <v>0.0689</v>
      </c>
      <c r="G63" s="0" t="n">
        <v>0.0689</v>
      </c>
      <c r="H63" s="0" t="n">
        <v>0.0108135147</v>
      </c>
      <c r="I63" s="4" t="n">
        <f aca="false">ROUND(D63*H63,2)</f>
        <v>11157557.95</v>
      </c>
      <c r="J63" s="4" t="n">
        <f aca="false">ROUND(E63-I63,2)</f>
        <v>-0.02</v>
      </c>
    </row>
    <row r="64" customFormat="false" ht="15" hidden="false" customHeight="false" outlineLevel="0" collapsed="false">
      <c r="A64" s="0" t="s">
        <v>136</v>
      </c>
      <c r="B64" s="0" t="s">
        <v>119</v>
      </c>
      <c r="C64" s="0" t="s">
        <v>122</v>
      </c>
      <c r="D64" s="0" t="n">
        <v>1123657118.48</v>
      </c>
      <c r="E64" s="0" t="n">
        <v>12150682.74</v>
      </c>
      <c r="F64" s="0" t="n">
        <v>0.0689</v>
      </c>
      <c r="G64" s="0" t="n">
        <v>0.0689</v>
      </c>
      <c r="H64" s="0" t="n">
        <v>0.0108135147</v>
      </c>
      <c r="I64" s="4" t="n">
        <f aca="false">ROUND(D64*H64,2)</f>
        <v>12150682.77</v>
      </c>
      <c r="J64" s="4" t="n">
        <f aca="false">ROUND(E64-I64,2)</f>
        <v>-0.03</v>
      </c>
    </row>
    <row r="65" customFormat="false" ht="15" hidden="false" customHeight="false" outlineLevel="0" collapsed="false">
      <c r="A65" s="0" t="s">
        <v>136</v>
      </c>
      <c r="B65" s="0" t="s">
        <v>119</v>
      </c>
      <c r="C65" s="0" t="s">
        <v>123</v>
      </c>
      <c r="D65" s="0" t="n">
        <v>1223695648.12</v>
      </c>
      <c r="E65" s="0" t="n">
        <v>13232450.85</v>
      </c>
      <c r="F65" s="0" t="n">
        <v>0.0689</v>
      </c>
      <c r="G65" s="0" t="n">
        <v>0.0689</v>
      </c>
      <c r="H65" s="0" t="n">
        <v>0.0108135147</v>
      </c>
      <c r="I65" s="4" t="n">
        <f aca="false">ROUND(D65*H65,2)</f>
        <v>13232450.88</v>
      </c>
      <c r="J65" s="4" t="n">
        <f aca="false">ROUND(E65-I65,2)</f>
        <v>-0.03</v>
      </c>
    </row>
    <row r="66" customFormat="false" ht="15" hidden="false" customHeight="false" outlineLevel="0" collapsed="false">
      <c r="A66" s="0" t="s">
        <v>136</v>
      </c>
      <c r="B66" s="0" t="s">
        <v>119</v>
      </c>
      <c r="C66" s="0" t="s">
        <v>124</v>
      </c>
      <c r="D66" s="0" t="n">
        <v>1323499486.26</v>
      </c>
      <c r="E66" s="0" t="n">
        <v>14311681.12</v>
      </c>
      <c r="F66" s="0" t="n">
        <v>0.0689</v>
      </c>
      <c r="G66" s="0" t="n">
        <v>0.0689</v>
      </c>
      <c r="H66" s="0" t="n">
        <v>0.0108135147</v>
      </c>
      <c r="I66" s="4" t="n">
        <f aca="false">ROUND(D66*H66,2)</f>
        <v>14311681.15</v>
      </c>
      <c r="J66" s="4" t="n">
        <f aca="false">ROUND(E66-I66,2)</f>
        <v>-0.03</v>
      </c>
    </row>
    <row r="67" customFormat="false" ht="15" hidden="false" customHeight="false" outlineLevel="0" collapsed="false">
      <c r="A67" s="0" t="s">
        <v>136</v>
      </c>
      <c r="B67" s="0" t="s">
        <v>119</v>
      </c>
      <c r="C67" s="0" t="s">
        <v>125</v>
      </c>
      <c r="D67" s="0" t="n">
        <v>1419214025.14</v>
      </c>
      <c r="E67" s="0" t="n">
        <v>15346691.69</v>
      </c>
      <c r="F67" s="0" t="n">
        <v>0.0689</v>
      </c>
      <c r="G67" s="0" t="n">
        <v>0.0689</v>
      </c>
      <c r="H67" s="0" t="n">
        <v>0.0108135147</v>
      </c>
      <c r="I67" s="4" t="n">
        <f aca="false">ROUND(D67*H67,2)</f>
        <v>15346691.72</v>
      </c>
      <c r="J67" s="4" t="n">
        <f aca="false">ROUND(E67-I67,2)</f>
        <v>-0.03</v>
      </c>
    </row>
    <row r="68" customFormat="false" ht="15" hidden="false" customHeight="false" outlineLevel="0" collapsed="false">
      <c r="A68" s="0" t="s">
        <v>136</v>
      </c>
      <c r="B68" s="0" t="s">
        <v>119</v>
      </c>
      <c r="C68" s="0" t="s">
        <v>126</v>
      </c>
      <c r="D68" s="0" t="n">
        <v>1519317243.12</v>
      </c>
      <c r="E68" s="0" t="n">
        <v>16429159.31</v>
      </c>
      <c r="F68" s="0" t="n">
        <v>0.0689</v>
      </c>
      <c r="G68" s="0" t="n">
        <v>0.0689</v>
      </c>
      <c r="H68" s="0" t="n">
        <v>0.0108135147</v>
      </c>
      <c r="I68" s="4" t="n">
        <f aca="false">ROUND(D68*H68,2)</f>
        <v>16429159.34</v>
      </c>
      <c r="J68" s="4" t="n">
        <f aca="false">ROUND(E68-I68,2)</f>
        <v>-0.03</v>
      </c>
    </row>
    <row r="69" customFormat="false" ht="15" hidden="false" customHeight="false" outlineLevel="0" collapsed="false">
      <c r="A69" s="0" t="s">
        <v>136</v>
      </c>
      <c r="B69" s="0" t="s">
        <v>119</v>
      </c>
      <c r="C69" s="0" t="s">
        <v>127</v>
      </c>
      <c r="D69" s="0" t="n">
        <v>1623334812.72</v>
      </c>
      <c r="E69" s="0" t="n">
        <v>17553954.83</v>
      </c>
      <c r="F69" s="0" t="n">
        <v>0.0689</v>
      </c>
      <c r="G69" s="0" t="n">
        <v>0.0689</v>
      </c>
      <c r="H69" s="0" t="n">
        <v>0.0108135147</v>
      </c>
      <c r="I69" s="4" t="n">
        <f aca="false">ROUND(D69*H69,2)</f>
        <v>17553954.86</v>
      </c>
      <c r="J69" s="4" t="n">
        <f aca="false">ROUND(E69-I69,2)</f>
        <v>-0.03</v>
      </c>
    </row>
    <row r="70" customFormat="false" ht="15" hidden="false" customHeight="false" outlineLevel="0" collapsed="false">
      <c r="A70" s="0" t="s">
        <v>136</v>
      </c>
      <c r="B70" s="0" t="s">
        <v>119</v>
      </c>
      <c r="C70" s="0" t="s">
        <v>128</v>
      </c>
      <c r="D70" s="0" t="n">
        <v>1727441344</v>
      </c>
      <c r="E70" s="0" t="n">
        <v>18679712.33</v>
      </c>
      <c r="F70" s="0" t="n">
        <v>0.0689</v>
      </c>
      <c r="G70" s="0" t="n">
        <v>0.0689</v>
      </c>
      <c r="H70" s="0" t="n">
        <v>0.0108135147</v>
      </c>
      <c r="I70" s="4" t="n">
        <f aca="false">ROUND(D70*H70,2)</f>
        <v>18679712.37</v>
      </c>
      <c r="J70" s="4" t="n">
        <f aca="false">ROUND(E70-I70,2)</f>
        <v>-0.04</v>
      </c>
    </row>
    <row r="71" customFormat="false" ht="15" hidden="false" customHeight="false" outlineLevel="0" collapsed="false">
      <c r="A71" s="0" t="s">
        <v>136</v>
      </c>
      <c r="B71" s="0" t="s">
        <v>119</v>
      </c>
      <c r="C71" s="0" t="s">
        <v>129</v>
      </c>
      <c r="D71" s="0" t="n">
        <v>1837474190.9</v>
      </c>
      <c r="E71" s="0" t="n">
        <v>19869554.13</v>
      </c>
      <c r="F71" s="0" t="n">
        <v>0.0689</v>
      </c>
      <c r="G71" s="0" t="n">
        <v>0.0689</v>
      </c>
      <c r="H71" s="0" t="n">
        <v>0.0108135147</v>
      </c>
      <c r="I71" s="4" t="n">
        <f aca="false">ROUND(D71*H71,2)</f>
        <v>19869554.17</v>
      </c>
      <c r="J71" s="4" t="n">
        <f aca="false">ROUND(E71-I71,2)</f>
        <v>-0.04</v>
      </c>
    </row>
    <row r="72" customFormat="false" ht="15" hidden="false" customHeight="false" outlineLevel="0" collapsed="false">
      <c r="A72" s="0" t="s">
        <v>136</v>
      </c>
      <c r="B72" s="0" t="s">
        <v>119</v>
      </c>
      <c r="C72" s="0" t="s">
        <v>130</v>
      </c>
      <c r="D72" s="0" t="n">
        <v>1955505713.94</v>
      </c>
      <c r="E72" s="0" t="n">
        <v>21145889.74</v>
      </c>
      <c r="F72" s="0" t="n">
        <v>0.0689</v>
      </c>
      <c r="G72" s="0" t="n">
        <v>0.0689</v>
      </c>
      <c r="H72" s="0" t="n">
        <v>0.0108135147</v>
      </c>
      <c r="I72" s="4" t="n">
        <f aca="false">ROUND(D72*H72,2)</f>
        <v>21145889.78</v>
      </c>
      <c r="J72" s="4" t="n">
        <f aca="false">ROUND(E72-I72,2)</f>
        <v>-0.04</v>
      </c>
    </row>
    <row r="73" customFormat="false" ht="15" hidden="false" customHeight="false" outlineLevel="0" collapsed="false">
      <c r="A73" s="0" t="s">
        <v>136</v>
      </c>
      <c r="B73" s="0" t="s">
        <v>119</v>
      </c>
      <c r="C73" s="0" t="s">
        <v>131</v>
      </c>
      <c r="D73" s="0" t="n">
        <v>2077242596.92</v>
      </c>
      <c r="E73" s="0" t="n">
        <v>22462293.31</v>
      </c>
      <c r="F73" s="0" t="n">
        <v>0.0689</v>
      </c>
      <c r="G73" s="0" t="n">
        <v>0.0689</v>
      </c>
      <c r="H73" s="0" t="n">
        <v>0.0108135147</v>
      </c>
      <c r="I73" s="4" t="n">
        <f aca="false">ROUND(D73*H73,2)</f>
        <v>22462293.36</v>
      </c>
      <c r="J73" s="4" t="n">
        <f aca="false">ROUND(E73-I73,2)</f>
        <v>-0.05</v>
      </c>
    </row>
    <row r="74" customFormat="false" ht="15" hidden="false" customHeight="false" outlineLevel="0" collapsed="false">
      <c r="A74" s="0" t="s">
        <v>137</v>
      </c>
      <c r="B74" s="0" t="s">
        <v>119</v>
      </c>
      <c r="C74" s="0" t="s">
        <v>120</v>
      </c>
      <c r="D74" s="0" t="n">
        <v>398740681.6</v>
      </c>
      <c r="E74" s="0" t="n">
        <v>3693251.98</v>
      </c>
      <c r="F74" s="0" t="n">
        <v>0.0676</v>
      </c>
      <c r="G74" s="0" t="n">
        <v>0.0676</v>
      </c>
      <c r="H74" s="0" t="n">
        <v>0.0092622904</v>
      </c>
      <c r="I74" s="4" t="n">
        <f aca="false">ROUND(D74*H74,2)</f>
        <v>3693251.99</v>
      </c>
      <c r="J74" s="4" t="n">
        <f aca="false">ROUND(E74-I74,2)</f>
        <v>-0.01</v>
      </c>
    </row>
    <row r="75" customFormat="false" ht="15" hidden="false" customHeight="false" outlineLevel="0" collapsed="false">
      <c r="A75" s="0" t="s">
        <v>137</v>
      </c>
      <c r="B75" s="0" t="s">
        <v>119</v>
      </c>
      <c r="C75" s="0" t="s">
        <v>121</v>
      </c>
      <c r="D75" s="0" t="n">
        <v>401979901.12</v>
      </c>
      <c r="E75" s="0" t="n">
        <v>3723254.57</v>
      </c>
      <c r="F75" s="0" t="n">
        <v>0.0676</v>
      </c>
      <c r="G75" s="0" t="n">
        <v>0.0676</v>
      </c>
      <c r="H75" s="0" t="n">
        <v>0.0092622904</v>
      </c>
      <c r="I75" s="4" t="n">
        <f aca="false">ROUND(D75*H75,2)</f>
        <v>3723254.58</v>
      </c>
      <c r="J75" s="4" t="n">
        <f aca="false">ROUND(E75-I75,2)</f>
        <v>-0.01</v>
      </c>
    </row>
    <row r="76" customFormat="false" ht="15" hidden="false" customHeight="false" outlineLevel="0" collapsed="false">
      <c r="A76" s="0" t="s">
        <v>137</v>
      </c>
      <c r="B76" s="0" t="s">
        <v>119</v>
      </c>
      <c r="C76" s="0" t="s">
        <v>122</v>
      </c>
      <c r="D76" s="0" t="n">
        <v>406208882.48</v>
      </c>
      <c r="E76" s="0" t="n">
        <v>3762424.63</v>
      </c>
      <c r="F76" s="0" t="n">
        <v>0.0676</v>
      </c>
      <c r="G76" s="0" t="n">
        <v>0.0676</v>
      </c>
      <c r="H76" s="0" t="n">
        <v>0.0092622904</v>
      </c>
      <c r="I76" s="4" t="n">
        <f aca="false">ROUND(D76*H76,2)</f>
        <v>3762424.63</v>
      </c>
      <c r="J76" s="4" t="n">
        <f aca="false">ROUND(E76-I76,2)</f>
        <v>0</v>
      </c>
    </row>
    <row r="77" customFormat="false" ht="15" hidden="false" customHeight="false" outlineLevel="0" collapsed="false">
      <c r="A77" s="0" t="s">
        <v>137</v>
      </c>
      <c r="B77" s="0" t="s">
        <v>119</v>
      </c>
      <c r="C77" s="0" t="s">
        <v>123</v>
      </c>
      <c r="D77" s="0" t="n">
        <v>410765681.88</v>
      </c>
      <c r="E77" s="0" t="n">
        <v>3804631.03</v>
      </c>
      <c r="F77" s="0" t="n">
        <v>0.0676</v>
      </c>
      <c r="G77" s="0" t="n">
        <v>0.0676</v>
      </c>
      <c r="H77" s="0" t="n">
        <v>0.0092622904</v>
      </c>
      <c r="I77" s="4" t="n">
        <f aca="false">ROUND(D77*H77,2)</f>
        <v>3804631.03</v>
      </c>
      <c r="J77" s="4" t="n">
        <f aca="false">ROUND(E77-I77,2)</f>
        <v>0</v>
      </c>
    </row>
    <row r="78" customFormat="false" ht="15" hidden="false" customHeight="false" outlineLevel="0" collapsed="false">
      <c r="A78" s="0" t="s">
        <v>137</v>
      </c>
      <c r="B78" s="0" t="s">
        <v>119</v>
      </c>
      <c r="C78" s="0" t="s">
        <v>124</v>
      </c>
      <c r="D78" s="0" t="n">
        <v>414878827.32</v>
      </c>
      <c r="E78" s="0" t="n">
        <v>3842728.17</v>
      </c>
      <c r="F78" s="0" t="n">
        <v>0.0676</v>
      </c>
      <c r="G78" s="0" t="n">
        <v>0.0676</v>
      </c>
      <c r="H78" s="0" t="n">
        <v>0.0092622904</v>
      </c>
      <c r="I78" s="4" t="n">
        <f aca="false">ROUND(D78*H78,2)</f>
        <v>3842728.18</v>
      </c>
      <c r="J78" s="4" t="n">
        <f aca="false">ROUND(E78-I78,2)</f>
        <v>-0.01</v>
      </c>
    </row>
    <row r="79" customFormat="false" ht="15" hidden="false" customHeight="false" outlineLevel="0" collapsed="false">
      <c r="A79" s="0" t="s">
        <v>137</v>
      </c>
      <c r="B79" s="0" t="s">
        <v>119</v>
      </c>
      <c r="C79" s="0" t="s">
        <v>125</v>
      </c>
      <c r="D79" s="0" t="n">
        <v>419056435.4</v>
      </c>
      <c r="E79" s="0" t="n">
        <v>3881422.39</v>
      </c>
      <c r="F79" s="0" t="n">
        <v>0.0676</v>
      </c>
      <c r="G79" s="0" t="n">
        <v>0.0676</v>
      </c>
      <c r="H79" s="0" t="n">
        <v>0.0092622904</v>
      </c>
      <c r="I79" s="4" t="n">
        <f aca="false">ROUND(D79*H79,2)</f>
        <v>3881422.4</v>
      </c>
      <c r="J79" s="4" t="n">
        <f aca="false">ROUND(E79-I79,2)</f>
        <v>-0.01</v>
      </c>
    </row>
    <row r="80" customFormat="false" ht="15" hidden="false" customHeight="false" outlineLevel="0" collapsed="false">
      <c r="A80" s="0" t="s">
        <v>137</v>
      </c>
      <c r="B80" s="0" t="s">
        <v>119</v>
      </c>
      <c r="C80" s="0" t="s">
        <v>126</v>
      </c>
      <c r="D80" s="0" t="n">
        <v>423765534.84</v>
      </c>
      <c r="E80" s="0" t="n">
        <v>3925039.44</v>
      </c>
      <c r="F80" s="0" t="n">
        <v>0.0676</v>
      </c>
      <c r="G80" s="0" t="n">
        <v>0.0676</v>
      </c>
      <c r="H80" s="0" t="n">
        <v>0.0092622904</v>
      </c>
      <c r="I80" s="4" t="n">
        <f aca="false">ROUND(D80*H80,2)</f>
        <v>3925039.45</v>
      </c>
      <c r="J80" s="4" t="n">
        <f aca="false">ROUND(E80-I80,2)</f>
        <v>-0.01</v>
      </c>
    </row>
    <row r="81" customFormat="false" ht="15" hidden="false" customHeight="false" outlineLevel="0" collapsed="false">
      <c r="A81" s="0" t="s">
        <v>137</v>
      </c>
      <c r="B81" s="0" t="s">
        <v>119</v>
      </c>
      <c r="C81" s="0" t="s">
        <v>127</v>
      </c>
      <c r="D81" s="0" t="n">
        <v>429728055.78</v>
      </c>
      <c r="E81" s="0" t="n">
        <v>3980266.04</v>
      </c>
      <c r="F81" s="0" t="n">
        <v>0.0676</v>
      </c>
      <c r="G81" s="0" t="n">
        <v>0.0676</v>
      </c>
      <c r="H81" s="0" t="n">
        <v>0.0092622904</v>
      </c>
      <c r="I81" s="4" t="n">
        <f aca="false">ROUND(D81*H81,2)</f>
        <v>3980266.05</v>
      </c>
      <c r="J81" s="4" t="n">
        <f aca="false">ROUND(E81-I81,2)</f>
        <v>-0.01</v>
      </c>
    </row>
    <row r="82" customFormat="false" ht="15" hidden="false" customHeight="false" outlineLevel="0" collapsed="false">
      <c r="A82" s="0" t="s">
        <v>137</v>
      </c>
      <c r="B82" s="0" t="s">
        <v>119</v>
      </c>
      <c r="C82" s="0" t="s">
        <v>128</v>
      </c>
      <c r="D82" s="0" t="n">
        <v>435231165.88</v>
      </c>
      <c r="E82" s="0" t="n">
        <v>4031237.44</v>
      </c>
      <c r="F82" s="0" t="n">
        <v>0.0676</v>
      </c>
      <c r="G82" s="0" t="n">
        <v>0.0676</v>
      </c>
      <c r="H82" s="0" t="n">
        <v>0.0092622904</v>
      </c>
      <c r="I82" s="4" t="n">
        <f aca="false">ROUND(D82*H82,2)</f>
        <v>4031237.45</v>
      </c>
      <c r="J82" s="4" t="n">
        <f aca="false">ROUND(E82-I82,2)</f>
        <v>-0.01</v>
      </c>
    </row>
    <row r="83" customFormat="false" ht="15" hidden="false" customHeight="false" outlineLevel="0" collapsed="false">
      <c r="A83" s="0" t="s">
        <v>137</v>
      </c>
      <c r="B83" s="0" t="s">
        <v>119</v>
      </c>
      <c r="C83" s="0" t="s">
        <v>129</v>
      </c>
      <c r="D83" s="0" t="n">
        <v>439855981.94</v>
      </c>
      <c r="E83" s="0" t="n">
        <v>4074073.83</v>
      </c>
      <c r="F83" s="0" t="n">
        <v>0.0676</v>
      </c>
      <c r="G83" s="0" t="n">
        <v>0.0676</v>
      </c>
      <c r="H83" s="0" t="n">
        <v>0.0092622904</v>
      </c>
      <c r="I83" s="4" t="n">
        <f aca="false">ROUND(D83*H83,2)</f>
        <v>4074073.84</v>
      </c>
      <c r="J83" s="4" t="n">
        <f aca="false">ROUND(E83-I83,2)</f>
        <v>-0.01</v>
      </c>
    </row>
    <row r="84" customFormat="false" ht="15" hidden="false" customHeight="false" outlineLevel="0" collapsed="false">
      <c r="A84" s="0" t="s">
        <v>137</v>
      </c>
      <c r="B84" s="0" t="s">
        <v>119</v>
      </c>
      <c r="C84" s="0" t="s">
        <v>130</v>
      </c>
      <c r="D84" s="0" t="n">
        <v>444847797.76</v>
      </c>
      <c r="E84" s="0" t="n">
        <v>4120309.48</v>
      </c>
      <c r="F84" s="0" t="n">
        <v>0.0676</v>
      </c>
      <c r="G84" s="0" t="n">
        <v>0.0676</v>
      </c>
      <c r="H84" s="0" t="n">
        <v>0.0092622904</v>
      </c>
      <c r="I84" s="4" t="n">
        <f aca="false">ROUND(D84*H84,2)</f>
        <v>4120309.49</v>
      </c>
      <c r="J84" s="4" t="n">
        <f aca="false">ROUND(E84-I84,2)</f>
        <v>-0.01</v>
      </c>
    </row>
    <row r="85" customFormat="false" ht="15" hidden="false" customHeight="false" outlineLevel="0" collapsed="false">
      <c r="A85" s="0" t="s">
        <v>137</v>
      </c>
      <c r="B85" s="0" t="s">
        <v>119</v>
      </c>
      <c r="C85" s="0" t="s">
        <v>131</v>
      </c>
      <c r="D85" s="0" t="n">
        <v>449786833.76</v>
      </c>
      <c r="E85" s="0" t="n">
        <v>4166056.27</v>
      </c>
      <c r="F85" s="0" t="n">
        <v>0.0676</v>
      </c>
      <c r="G85" s="0" t="n">
        <v>0.0676</v>
      </c>
      <c r="H85" s="0" t="n">
        <v>0.0092622904</v>
      </c>
      <c r="I85" s="4" t="n">
        <f aca="false">ROUND(D85*H85,2)</f>
        <v>4166056.27</v>
      </c>
      <c r="J85" s="4" t="n">
        <f aca="false">ROUND(E85-I85,2)</f>
        <v>0</v>
      </c>
    </row>
    <row r="86" customFormat="false" ht="15" hidden="false" customHeight="false" outlineLevel="0" collapsed="false">
      <c r="A86" s="0" t="s">
        <v>138</v>
      </c>
      <c r="B86" s="0" t="s">
        <v>119</v>
      </c>
      <c r="C86" s="0" t="s">
        <v>120</v>
      </c>
      <c r="D86" s="0" t="n">
        <v>2401730215.9</v>
      </c>
      <c r="E86" s="0" t="n">
        <v>29346305.02</v>
      </c>
      <c r="F86" s="0" t="n">
        <v>0.084</v>
      </c>
      <c r="G86" s="0" t="n">
        <v>0.084</v>
      </c>
      <c r="H86" s="0" t="n">
        <v>0.0122188183</v>
      </c>
      <c r="I86" s="4" t="n">
        <f aca="false">ROUND(D86*H86,2)</f>
        <v>29346305.11</v>
      </c>
      <c r="J86" s="4" t="n">
        <f aca="false">ROUND(E86-I86,2)</f>
        <v>-0.09</v>
      </c>
    </row>
    <row r="87" customFormat="false" ht="15" hidden="false" customHeight="false" outlineLevel="0" collapsed="false">
      <c r="A87" s="0" t="s">
        <v>138</v>
      </c>
      <c r="B87" s="0" t="s">
        <v>119</v>
      </c>
      <c r="C87" s="0" t="s">
        <v>121</v>
      </c>
      <c r="D87" s="0" t="n">
        <v>2508600289.46</v>
      </c>
      <c r="E87" s="0" t="n">
        <v>30652131.03</v>
      </c>
      <c r="F87" s="0" t="n">
        <v>0.084</v>
      </c>
      <c r="G87" s="0" t="n">
        <v>0.084</v>
      </c>
      <c r="H87" s="0" t="n">
        <v>0.0122188183</v>
      </c>
      <c r="I87" s="4" t="n">
        <f aca="false">ROUND(D87*H87,2)</f>
        <v>30652131.12</v>
      </c>
      <c r="J87" s="4" t="n">
        <f aca="false">ROUND(E87-I87,2)</f>
        <v>-0.09</v>
      </c>
    </row>
    <row r="88" customFormat="false" ht="15" hidden="false" customHeight="false" outlineLevel="0" collapsed="false">
      <c r="A88" s="0" t="s">
        <v>138</v>
      </c>
      <c r="B88" s="0" t="s">
        <v>119</v>
      </c>
      <c r="C88" s="0" t="s">
        <v>122</v>
      </c>
      <c r="D88" s="0" t="n">
        <v>2624138483.95</v>
      </c>
      <c r="E88" s="0" t="n">
        <v>32063871.23</v>
      </c>
      <c r="F88" s="0" t="n">
        <v>0.084</v>
      </c>
      <c r="G88" s="0" t="n">
        <v>0.084</v>
      </c>
      <c r="H88" s="0" t="n">
        <v>0.0122188183</v>
      </c>
      <c r="I88" s="4" t="n">
        <f aca="false">ROUND(D88*H88,2)</f>
        <v>32063871.33</v>
      </c>
      <c r="J88" s="4" t="n">
        <f aca="false">ROUND(E88-I88,2)</f>
        <v>-0.1</v>
      </c>
    </row>
    <row r="89" customFormat="false" ht="15" hidden="false" customHeight="false" outlineLevel="0" collapsed="false">
      <c r="A89" s="0" t="s">
        <v>138</v>
      </c>
      <c r="B89" s="0" t="s">
        <v>119</v>
      </c>
      <c r="C89" s="0" t="s">
        <v>123</v>
      </c>
      <c r="D89" s="0" t="n">
        <v>2749195203.24</v>
      </c>
      <c r="E89" s="0" t="n">
        <v>33591916.55</v>
      </c>
      <c r="F89" s="0" t="n">
        <v>0.084</v>
      </c>
      <c r="G89" s="0" t="n">
        <v>0.084</v>
      </c>
      <c r="H89" s="0" t="n">
        <v>0.0122188183</v>
      </c>
      <c r="I89" s="4" t="n">
        <f aca="false">ROUND(D89*H89,2)</f>
        <v>33591916.66</v>
      </c>
      <c r="J89" s="4" t="n">
        <f aca="false">ROUND(E89-I89,2)</f>
        <v>-0.11</v>
      </c>
    </row>
    <row r="90" customFormat="false" ht="15" hidden="false" customHeight="false" outlineLevel="0" collapsed="false">
      <c r="A90" s="0" t="s">
        <v>138</v>
      </c>
      <c r="B90" s="0" t="s">
        <v>119</v>
      </c>
      <c r="C90" s="0" t="s">
        <v>124</v>
      </c>
      <c r="D90" s="0" t="n">
        <v>2875483470.09</v>
      </c>
      <c r="E90" s="0" t="n">
        <v>35135009.93</v>
      </c>
      <c r="F90" s="0" t="n">
        <v>0.084</v>
      </c>
      <c r="G90" s="0" t="n">
        <v>0.084</v>
      </c>
      <c r="H90" s="0" t="n">
        <v>0.0122188183</v>
      </c>
      <c r="I90" s="4" t="n">
        <f aca="false">ROUND(D90*H90,2)</f>
        <v>35135010.05</v>
      </c>
      <c r="J90" s="4" t="n">
        <f aca="false">ROUND(E90-I90,2)</f>
        <v>-0.12</v>
      </c>
    </row>
    <row r="91" customFormat="false" ht="15" hidden="false" customHeight="false" outlineLevel="0" collapsed="false">
      <c r="A91" s="0" t="s">
        <v>138</v>
      </c>
      <c r="B91" s="0" t="s">
        <v>119</v>
      </c>
      <c r="C91" s="0" t="s">
        <v>125</v>
      </c>
      <c r="D91" s="0" t="n">
        <v>3001206566.13</v>
      </c>
      <c r="E91" s="0" t="n">
        <v>36671197.6</v>
      </c>
      <c r="F91" s="0" t="n">
        <v>0.084</v>
      </c>
      <c r="G91" s="0" t="n">
        <v>0.084</v>
      </c>
      <c r="H91" s="0" t="n">
        <v>0.0122188183</v>
      </c>
      <c r="I91" s="4" t="n">
        <f aca="false">ROUND(D91*H91,2)</f>
        <v>36671197.71</v>
      </c>
      <c r="J91" s="4" t="n">
        <f aca="false">ROUND(E91-I91,2)</f>
        <v>-0.11</v>
      </c>
    </row>
    <row r="92" customFormat="false" ht="15" hidden="false" customHeight="false" outlineLevel="0" collapsed="false">
      <c r="A92" s="0" t="s">
        <v>138</v>
      </c>
      <c r="B92" s="0" t="s">
        <v>119</v>
      </c>
      <c r="C92" s="0" t="s">
        <v>126</v>
      </c>
      <c r="D92" s="0" t="n">
        <v>3131860051.71</v>
      </c>
      <c r="E92" s="0" t="n">
        <v>38267628.79</v>
      </c>
      <c r="F92" s="0" t="n">
        <v>0.084</v>
      </c>
      <c r="G92" s="0" t="n">
        <v>0.084</v>
      </c>
      <c r="H92" s="0" t="n">
        <v>0.0122188183</v>
      </c>
      <c r="I92" s="4" t="n">
        <f aca="false">ROUND(D92*H92,2)</f>
        <v>38267628.91</v>
      </c>
      <c r="J92" s="4" t="n">
        <f aca="false">ROUND(E92-I92,2)</f>
        <v>-0.12</v>
      </c>
    </row>
    <row r="93" customFormat="false" ht="15" hidden="false" customHeight="false" outlineLevel="0" collapsed="false">
      <c r="A93" s="0" t="s">
        <v>138</v>
      </c>
      <c r="B93" s="0" t="s">
        <v>119</v>
      </c>
      <c r="C93" s="0" t="s">
        <v>127</v>
      </c>
      <c r="D93" s="0" t="n">
        <v>3266120722.8</v>
      </c>
      <c r="E93" s="0" t="n">
        <v>39908135.53</v>
      </c>
      <c r="F93" s="0" t="n">
        <v>0.084</v>
      </c>
      <c r="G93" s="0" t="n">
        <v>0.084</v>
      </c>
      <c r="H93" s="0" t="n">
        <v>0.0122188183</v>
      </c>
      <c r="I93" s="4" t="n">
        <f aca="false">ROUND(D93*H93,2)</f>
        <v>39908135.66</v>
      </c>
      <c r="J93" s="4" t="n">
        <f aca="false">ROUND(E93-I93,2)</f>
        <v>-0.13</v>
      </c>
    </row>
    <row r="94" customFormat="false" ht="15" hidden="false" customHeight="false" outlineLevel="0" collapsed="false">
      <c r="A94" s="0" t="s">
        <v>138</v>
      </c>
      <c r="B94" s="0" t="s">
        <v>119</v>
      </c>
      <c r="C94" s="0" t="s">
        <v>128</v>
      </c>
      <c r="D94" s="0" t="n">
        <v>3405252503.12</v>
      </c>
      <c r="E94" s="0" t="n">
        <v>41608161.47</v>
      </c>
      <c r="F94" s="0" t="n">
        <v>0.084</v>
      </c>
      <c r="G94" s="0" t="n">
        <v>0.084</v>
      </c>
      <c r="H94" s="0" t="n">
        <v>0.0122188183</v>
      </c>
      <c r="I94" s="4" t="n">
        <f aca="false">ROUND(D94*H94,2)</f>
        <v>41608161.6</v>
      </c>
      <c r="J94" s="4" t="n">
        <f aca="false">ROUND(E94-I94,2)</f>
        <v>-0.13</v>
      </c>
    </row>
    <row r="95" customFormat="false" ht="15" hidden="false" customHeight="false" outlineLevel="0" collapsed="false">
      <c r="A95" s="0" t="s">
        <v>138</v>
      </c>
      <c r="B95" s="0" t="s">
        <v>119</v>
      </c>
      <c r="C95" s="0" t="s">
        <v>129</v>
      </c>
      <c r="D95" s="0" t="n">
        <v>3551131206.72</v>
      </c>
      <c r="E95" s="0" t="n">
        <v>43390626.84</v>
      </c>
      <c r="F95" s="0" t="n">
        <v>0.084</v>
      </c>
      <c r="G95" s="0" t="n">
        <v>0.084</v>
      </c>
      <c r="H95" s="0" t="n">
        <v>0.0122188183</v>
      </c>
      <c r="I95" s="4" t="n">
        <f aca="false">ROUND(D95*H95,2)</f>
        <v>43390626.97</v>
      </c>
      <c r="J95" s="4" t="n">
        <f aca="false">ROUND(E95-I95,2)</f>
        <v>-0.13</v>
      </c>
    </row>
    <row r="96" customFormat="false" ht="15" hidden="false" customHeight="false" outlineLevel="0" collapsed="false">
      <c r="A96" s="0" t="s">
        <v>138</v>
      </c>
      <c r="B96" s="0" t="s">
        <v>119</v>
      </c>
      <c r="C96" s="0" t="s">
        <v>130</v>
      </c>
      <c r="D96" s="0" t="n">
        <v>3701672211.86</v>
      </c>
      <c r="E96" s="0" t="n">
        <v>45230060.02</v>
      </c>
      <c r="F96" s="0" t="n">
        <v>0.084</v>
      </c>
      <c r="G96" s="0" t="n">
        <v>0.084</v>
      </c>
      <c r="H96" s="0" t="n">
        <v>0.0122188183</v>
      </c>
      <c r="I96" s="4" t="n">
        <f aca="false">ROUND(D96*H96,2)</f>
        <v>45230060.16</v>
      </c>
      <c r="J96" s="4" t="n">
        <f aca="false">ROUND(E96-I96,2)</f>
        <v>-0.14</v>
      </c>
    </row>
    <row r="97" customFormat="false" ht="15" hidden="false" customHeight="false" outlineLevel="0" collapsed="false">
      <c r="A97" s="0" t="s">
        <v>138</v>
      </c>
      <c r="B97" s="0" t="s">
        <v>119</v>
      </c>
      <c r="C97" s="0" t="s">
        <v>131</v>
      </c>
      <c r="D97" s="0" t="n">
        <v>3851992962.78</v>
      </c>
      <c r="E97" s="0" t="n">
        <v>47066801.95</v>
      </c>
      <c r="F97" s="0" t="n">
        <v>0.084</v>
      </c>
      <c r="G97" s="0" t="n">
        <v>0.084</v>
      </c>
      <c r="H97" s="0" t="n">
        <v>0.0122188183</v>
      </c>
      <c r="I97" s="4" t="n">
        <f aca="false">ROUND(D97*H97,2)</f>
        <v>47066802.11</v>
      </c>
      <c r="J97" s="4" t="n">
        <f aca="false">ROUND(E97-I97,2)</f>
        <v>-0.16</v>
      </c>
    </row>
    <row r="98" customFormat="false" ht="15" hidden="false" customHeight="false" outlineLevel="0" collapsed="false">
      <c r="A98" s="0" t="s">
        <v>139</v>
      </c>
      <c r="B98" s="0" t="s">
        <v>119</v>
      </c>
      <c r="C98" s="0" t="s">
        <v>120</v>
      </c>
      <c r="D98" s="0" t="n">
        <v>67971769.87</v>
      </c>
      <c r="E98" s="0" t="n">
        <v>737985.88</v>
      </c>
      <c r="F98" s="0" t="n">
        <v>0.0874</v>
      </c>
      <c r="G98" s="0" t="n">
        <v>0.0874</v>
      </c>
      <c r="H98" s="0" t="n">
        <v>0.0108572409</v>
      </c>
      <c r="I98" s="4" t="n">
        <f aca="false">ROUND(D98*H98,2)</f>
        <v>737985.88</v>
      </c>
      <c r="J98" s="4" t="n">
        <f aca="false">ROUND(E98-I98,2)</f>
        <v>0</v>
      </c>
    </row>
    <row r="99" customFormat="false" ht="15" hidden="false" customHeight="false" outlineLevel="0" collapsed="false">
      <c r="A99" s="0" t="s">
        <v>139</v>
      </c>
      <c r="B99" s="0" t="s">
        <v>119</v>
      </c>
      <c r="C99" s="0" t="s">
        <v>121</v>
      </c>
      <c r="D99" s="0" t="n">
        <v>76020365.12</v>
      </c>
      <c r="E99" s="0" t="n">
        <v>825371.42</v>
      </c>
      <c r="F99" s="0" t="n">
        <v>0.0874</v>
      </c>
      <c r="G99" s="0" t="n">
        <v>0.0874</v>
      </c>
      <c r="H99" s="0" t="n">
        <v>0.0108572409</v>
      </c>
      <c r="I99" s="4" t="n">
        <f aca="false">ROUND(D99*H99,2)</f>
        <v>825371.42</v>
      </c>
      <c r="J99" s="4" t="n">
        <f aca="false">ROUND(E99-I99,2)</f>
        <v>0</v>
      </c>
    </row>
    <row r="100" customFormat="false" ht="15" hidden="false" customHeight="false" outlineLevel="0" collapsed="false">
      <c r="A100" s="0" t="s">
        <v>139</v>
      </c>
      <c r="B100" s="0" t="s">
        <v>119</v>
      </c>
      <c r="C100" s="0" t="s">
        <v>122</v>
      </c>
      <c r="D100" s="0" t="n">
        <v>84097519.75</v>
      </c>
      <c r="E100" s="0" t="n">
        <v>913067.04</v>
      </c>
      <c r="F100" s="0" t="n">
        <v>0.0874</v>
      </c>
      <c r="G100" s="0" t="n">
        <v>0.0874</v>
      </c>
      <c r="H100" s="0" t="n">
        <v>0.0108572409</v>
      </c>
      <c r="I100" s="4" t="n">
        <f aca="false">ROUND(D100*H100,2)</f>
        <v>913067.03</v>
      </c>
      <c r="J100" s="4" t="n">
        <f aca="false">ROUND(E100-I100,2)</f>
        <v>0.01</v>
      </c>
    </row>
    <row r="101" customFormat="false" ht="15" hidden="false" customHeight="false" outlineLevel="0" collapsed="false">
      <c r="A101" s="0" t="s">
        <v>139</v>
      </c>
      <c r="B101" s="0" t="s">
        <v>119</v>
      </c>
      <c r="C101" s="0" t="s">
        <v>123</v>
      </c>
      <c r="D101" s="0" t="n">
        <v>92249843.9</v>
      </c>
      <c r="E101" s="0" t="n">
        <v>1001578.78</v>
      </c>
      <c r="F101" s="0" t="n">
        <v>0.0874</v>
      </c>
      <c r="G101" s="0" t="n">
        <v>0.0874</v>
      </c>
      <c r="H101" s="0" t="n">
        <v>0.0108572409</v>
      </c>
      <c r="I101" s="4" t="n">
        <f aca="false">ROUND(D101*H101,2)</f>
        <v>1001578.78</v>
      </c>
      <c r="J101" s="4" t="n">
        <f aca="false">ROUND(E101-I101,2)</f>
        <v>0</v>
      </c>
    </row>
    <row r="102" customFormat="false" ht="15" hidden="false" customHeight="false" outlineLevel="0" collapsed="false">
      <c r="A102" s="0" t="s">
        <v>139</v>
      </c>
      <c r="B102" s="0" t="s">
        <v>119</v>
      </c>
      <c r="C102" s="0" t="s">
        <v>124</v>
      </c>
      <c r="D102" s="0" t="n">
        <v>101308445.42</v>
      </c>
      <c r="E102" s="0" t="n">
        <v>1099930.2</v>
      </c>
      <c r="F102" s="0" t="n">
        <v>0.0874</v>
      </c>
      <c r="G102" s="0" t="n">
        <v>0.0874</v>
      </c>
      <c r="H102" s="0" t="n">
        <v>0.0108572409</v>
      </c>
      <c r="I102" s="4" t="n">
        <f aca="false">ROUND(D102*H102,2)</f>
        <v>1099930.2</v>
      </c>
      <c r="J102" s="4" t="n">
        <f aca="false">ROUND(E102-I102,2)</f>
        <v>0</v>
      </c>
    </row>
    <row r="103" customFormat="false" ht="15" hidden="false" customHeight="false" outlineLevel="0" collapsed="false">
      <c r="A103" s="0" t="s">
        <v>139</v>
      </c>
      <c r="B103" s="0" t="s">
        <v>119</v>
      </c>
      <c r="C103" s="0" t="s">
        <v>125</v>
      </c>
      <c r="D103" s="0" t="n">
        <v>110428173.7</v>
      </c>
      <c r="E103" s="0" t="n">
        <v>1198945.29</v>
      </c>
      <c r="F103" s="0" t="n">
        <v>0.0874</v>
      </c>
      <c r="G103" s="0" t="n">
        <v>0.0874</v>
      </c>
      <c r="H103" s="0" t="n">
        <v>0.0108572409</v>
      </c>
      <c r="I103" s="4" t="n">
        <f aca="false">ROUND(D103*H103,2)</f>
        <v>1198945.28</v>
      </c>
      <c r="J103" s="4" t="n">
        <f aca="false">ROUND(E103-I103,2)</f>
        <v>0.01</v>
      </c>
    </row>
    <row r="104" customFormat="false" ht="15" hidden="false" customHeight="false" outlineLevel="0" collapsed="false">
      <c r="A104" s="0" t="s">
        <v>139</v>
      </c>
      <c r="B104" s="0" t="s">
        <v>119</v>
      </c>
      <c r="C104" s="0" t="s">
        <v>126</v>
      </c>
      <c r="D104" s="0" t="n">
        <v>120156107.62</v>
      </c>
      <c r="E104" s="0" t="n">
        <v>1304563.81</v>
      </c>
      <c r="F104" s="0" t="n">
        <v>0.0874</v>
      </c>
      <c r="G104" s="0" t="n">
        <v>0.0874</v>
      </c>
      <c r="H104" s="0" t="n">
        <v>0.0108572409</v>
      </c>
      <c r="I104" s="4" t="n">
        <f aca="false">ROUND(D104*H104,2)</f>
        <v>1304563.81</v>
      </c>
      <c r="J104" s="4" t="n">
        <f aca="false">ROUND(E104-I104,2)</f>
        <v>0</v>
      </c>
    </row>
    <row r="105" customFormat="false" ht="15" hidden="false" customHeight="false" outlineLevel="0" collapsed="false">
      <c r="A105" s="0" t="s">
        <v>139</v>
      </c>
      <c r="B105" s="0" t="s">
        <v>119</v>
      </c>
      <c r="C105" s="0" t="s">
        <v>127</v>
      </c>
      <c r="D105" s="0" t="n">
        <v>130573832.43</v>
      </c>
      <c r="E105" s="0" t="n">
        <v>1417671.56</v>
      </c>
      <c r="F105" s="0" t="n">
        <v>0.0874</v>
      </c>
      <c r="G105" s="0" t="n">
        <v>0.0874</v>
      </c>
      <c r="H105" s="0" t="n">
        <v>0.0108572409</v>
      </c>
      <c r="I105" s="4" t="n">
        <f aca="false">ROUND(D105*H105,2)</f>
        <v>1417671.55</v>
      </c>
      <c r="J105" s="4" t="n">
        <f aca="false">ROUND(E105-I105,2)</f>
        <v>0.01</v>
      </c>
    </row>
    <row r="106" customFormat="false" ht="15" hidden="false" customHeight="false" outlineLevel="0" collapsed="false">
      <c r="A106" s="0" t="s">
        <v>139</v>
      </c>
      <c r="B106" s="0" t="s">
        <v>119</v>
      </c>
      <c r="C106" s="0" t="s">
        <v>128</v>
      </c>
      <c r="D106" s="0" t="n">
        <v>141399172.39</v>
      </c>
      <c r="E106" s="0" t="n">
        <v>1535204.88</v>
      </c>
      <c r="F106" s="0" t="n">
        <v>0.0874</v>
      </c>
      <c r="G106" s="0" t="n">
        <v>0.0874</v>
      </c>
      <c r="H106" s="0" t="n">
        <v>0.0108572409</v>
      </c>
      <c r="I106" s="4" t="n">
        <f aca="false">ROUND(D106*H106,2)</f>
        <v>1535204.88</v>
      </c>
      <c r="J106" s="4" t="n">
        <f aca="false">ROUND(E106-I106,2)</f>
        <v>0</v>
      </c>
    </row>
    <row r="107" customFormat="false" ht="15" hidden="false" customHeight="false" outlineLevel="0" collapsed="false">
      <c r="A107" s="0" t="s">
        <v>139</v>
      </c>
      <c r="B107" s="0" t="s">
        <v>119</v>
      </c>
      <c r="C107" s="0" t="s">
        <v>129</v>
      </c>
      <c r="D107" s="0" t="n">
        <v>151825919.92</v>
      </c>
      <c r="E107" s="0" t="n">
        <v>1648410.6</v>
      </c>
      <c r="F107" s="0" t="n">
        <v>0.0874</v>
      </c>
      <c r="G107" s="0" t="n">
        <v>0.0874</v>
      </c>
      <c r="H107" s="0" t="n">
        <v>0.0108572409</v>
      </c>
      <c r="I107" s="4" t="n">
        <f aca="false">ROUND(D107*H107,2)</f>
        <v>1648410.59</v>
      </c>
      <c r="J107" s="4" t="n">
        <f aca="false">ROUND(E107-I107,2)</f>
        <v>0.01</v>
      </c>
    </row>
    <row r="108" customFormat="false" ht="15" hidden="false" customHeight="false" outlineLevel="0" collapsed="false">
      <c r="A108" s="0" t="s">
        <v>139</v>
      </c>
      <c r="B108" s="0" t="s">
        <v>119</v>
      </c>
      <c r="C108" s="0" t="s">
        <v>130</v>
      </c>
      <c r="D108" s="0" t="n">
        <v>161947277.6</v>
      </c>
      <c r="E108" s="0" t="n">
        <v>1758300.61</v>
      </c>
      <c r="F108" s="0" t="n">
        <v>0.0874</v>
      </c>
      <c r="G108" s="0" t="n">
        <v>0.0874</v>
      </c>
      <c r="H108" s="0" t="n">
        <v>0.0108572409</v>
      </c>
      <c r="I108" s="4" t="n">
        <f aca="false">ROUND(D108*H108,2)</f>
        <v>1758300.61</v>
      </c>
      <c r="J108" s="4" t="n">
        <f aca="false">ROUND(E108-I108,2)</f>
        <v>0</v>
      </c>
    </row>
    <row r="109" customFormat="false" ht="15" hidden="false" customHeight="false" outlineLevel="0" collapsed="false">
      <c r="A109" s="0" t="s">
        <v>139</v>
      </c>
      <c r="B109" s="0" t="s">
        <v>119</v>
      </c>
      <c r="C109" s="0" t="s">
        <v>131</v>
      </c>
      <c r="D109" s="0" t="n">
        <v>172303694.58</v>
      </c>
      <c r="E109" s="0" t="n">
        <v>1870742.73</v>
      </c>
      <c r="F109" s="0" t="n">
        <v>0.0874</v>
      </c>
      <c r="G109" s="0" t="n">
        <v>0.0874</v>
      </c>
      <c r="H109" s="0" t="n">
        <v>0.0108572409</v>
      </c>
      <c r="I109" s="4" t="n">
        <f aca="false">ROUND(D109*H109,2)</f>
        <v>1870742.72</v>
      </c>
      <c r="J109" s="4" t="n">
        <f aca="false">ROUND(E109-I109,2)</f>
        <v>0.01</v>
      </c>
    </row>
    <row r="110" customFormat="false" ht="15" hidden="false" customHeight="false" outlineLevel="0" collapsed="false">
      <c r="A110" s="0" t="s">
        <v>140</v>
      </c>
      <c r="B110" s="0" t="s">
        <v>119</v>
      </c>
      <c r="C110" s="0" t="s">
        <v>120</v>
      </c>
      <c r="D110" s="0" t="n">
        <v>144974898.67</v>
      </c>
      <c r="E110" s="0" t="n">
        <v>1575185.4</v>
      </c>
      <c r="F110" s="0" t="n">
        <v>0.0875</v>
      </c>
      <c r="G110" s="0" t="n">
        <v>0.0875</v>
      </c>
      <c r="H110" s="0" t="n">
        <v>0.0108652285</v>
      </c>
      <c r="I110" s="4" t="n">
        <f aca="false">ROUND(D110*H110,2)</f>
        <v>1575185.4</v>
      </c>
      <c r="J110" s="4" t="n">
        <f aca="false">ROUND(E110-I110,2)</f>
        <v>0</v>
      </c>
    </row>
    <row r="111" customFormat="false" ht="15" hidden="false" customHeight="false" outlineLevel="0" collapsed="false">
      <c r="A111" s="0" t="s">
        <v>140</v>
      </c>
      <c r="B111" s="0" t="s">
        <v>119</v>
      </c>
      <c r="C111" s="0" t="s">
        <v>121</v>
      </c>
      <c r="D111" s="0" t="n">
        <v>144974898.67</v>
      </c>
      <c r="E111" s="0" t="n">
        <v>1575185.4</v>
      </c>
      <c r="F111" s="0" t="n">
        <v>0.0875</v>
      </c>
      <c r="G111" s="0" t="n">
        <v>0.0875</v>
      </c>
      <c r="H111" s="0" t="n">
        <v>0.0108652285</v>
      </c>
      <c r="I111" s="4" t="n">
        <f aca="false">ROUND(D111*H111,2)</f>
        <v>1575185.4</v>
      </c>
      <c r="J111" s="4" t="n">
        <f aca="false">ROUND(E111-I111,2)</f>
        <v>0</v>
      </c>
    </row>
    <row r="112" customFormat="false" ht="15" hidden="false" customHeight="false" outlineLevel="0" collapsed="false">
      <c r="A112" s="0" t="s">
        <v>140</v>
      </c>
      <c r="B112" s="0" t="s">
        <v>119</v>
      </c>
      <c r="C112" s="0" t="s">
        <v>122</v>
      </c>
      <c r="D112" s="0" t="n">
        <v>144974898.67</v>
      </c>
      <c r="E112" s="0" t="n">
        <v>1575185.4</v>
      </c>
      <c r="F112" s="0" t="n">
        <v>0.0875</v>
      </c>
      <c r="G112" s="0" t="n">
        <v>0.0875</v>
      </c>
      <c r="H112" s="0" t="n">
        <v>0.0108652285</v>
      </c>
      <c r="I112" s="4" t="n">
        <f aca="false">ROUND(D112*H112,2)</f>
        <v>1575185.4</v>
      </c>
      <c r="J112" s="4" t="n">
        <f aca="false">ROUND(E112-I112,2)</f>
        <v>0</v>
      </c>
    </row>
    <row r="113" customFormat="false" ht="15" hidden="false" customHeight="false" outlineLevel="0" collapsed="false">
      <c r="A113" s="0" t="s">
        <v>140</v>
      </c>
      <c r="B113" s="0" t="s">
        <v>119</v>
      </c>
      <c r="C113" s="0" t="s">
        <v>123</v>
      </c>
      <c r="D113" s="0" t="n">
        <v>144974898.67</v>
      </c>
      <c r="E113" s="0" t="n">
        <v>1575185.4</v>
      </c>
      <c r="F113" s="0" t="n">
        <v>0.0875</v>
      </c>
      <c r="G113" s="0" t="n">
        <v>0.0875</v>
      </c>
      <c r="H113" s="0" t="n">
        <v>0.0108652285</v>
      </c>
      <c r="I113" s="4" t="n">
        <f aca="false">ROUND(D113*H113,2)</f>
        <v>1575185.4</v>
      </c>
      <c r="J113" s="4" t="n">
        <f aca="false">ROUND(E113-I113,2)</f>
        <v>0</v>
      </c>
    </row>
    <row r="114" customFormat="false" ht="15" hidden="false" customHeight="false" outlineLevel="0" collapsed="false">
      <c r="A114" s="0" t="s">
        <v>140</v>
      </c>
      <c r="B114" s="0" t="s">
        <v>119</v>
      </c>
      <c r="C114" s="0" t="s">
        <v>124</v>
      </c>
      <c r="D114" s="0" t="n">
        <v>144974898.67</v>
      </c>
      <c r="E114" s="0" t="n">
        <v>1575185.4</v>
      </c>
      <c r="F114" s="0" t="n">
        <v>0.0875</v>
      </c>
      <c r="G114" s="0" t="n">
        <v>0.0875</v>
      </c>
      <c r="H114" s="0" t="n">
        <v>0.0108652285</v>
      </c>
      <c r="I114" s="4" t="n">
        <f aca="false">ROUND(D114*H114,2)</f>
        <v>1575185.4</v>
      </c>
      <c r="J114" s="4" t="n">
        <f aca="false">ROUND(E114-I114,2)</f>
        <v>0</v>
      </c>
    </row>
    <row r="115" customFormat="false" ht="15" hidden="false" customHeight="false" outlineLevel="0" collapsed="false">
      <c r="A115" s="0" t="s">
        <v>140</v>
      </c>
      <c r="B115" s="0" t="s">
        <v>119</v>
      </c>
      <c r="C115" s="0" t="s">
        <v>125</v>
      </c>
      <c r="D115" s="0" t="n">
        <v>144974898.67</v>
      </c>
      <c r="E115" s="0" t="n">
        <v>1575185.4</v>
      </c>
      <c r="F115" s="0" t="n">
        <v>0.0875</v>
      </c>
      <c r="G115" s="0" t="n">
        <v>0.0875</v>
      </c>
      <c r="H115" s="0" t="n">
        <v>0.0108652285</v>
      </c>
      <c r="I115" s="4" t="n">
        <f aca="false">ROUND(D115*H115,2)</f>
        <v>1575185.4</v>
      </c>
      <c r="J115" s="4" t="n">
        <f aca="false">ROUND(E115-I115,2)</f>
        <v>0</v>
      </c>
    </row>
    <row r="116" customFormat="false" ht="15" hidden="false" customHeight="false" outlineLevel="0" collapsed="false">
      <c r="A116" s="0" t="s">
        <v>140</v>
      </c>
      <c r="B116" s="0" t="s">
        <v>119</v>
      </c>
      <c r="C116" s="0" t="s">
        <v>126</v>
      </c>
      <c r="D116" s="0" t="n">
        <v>144974898.67</v>
      </c>
      <c r="E116" s="0" t="n">
        <v>1575185.4</v>
      </c>
      <c r="F116" s="0" t="n">
        <v>0.0875</v>
      </c>
      <c r="G116" s="0" t="n">
        <v>0.0875</v>
      </c>
      <c r="H116" s="0" t="n">
        <v>0.0108652285</v>
      </c>
      <c r="I116" s="4" t="n">
        <f aca="false">ROUND(D116*H116,2)</f>
        <v>1575185.4</v>
      </c>
      <c r="J116" s="4" t="n">
        <f aca="false">ROUND(E116-I116,2)</f>
        <v>0</v>
      </c>
    </row>
    <row r="117" customFormat="false" ht="15" hidden="false" customHeight="false" outlineLevel="0" collapsed="false">
      <c r="A117" s="0" t="s">
        <v>140</v>
      </c>
      <c r="B117" s="0" t="s">
        <v>119</v>
      </c>
      <c r="C117" s="0" t="s">
        <v>127</v>
      </c>
      <c r="D117" s="0" t="n">
        <v>144974898.67</v>
      </c>
      <c r="E117" s="0" t="n">
        <v>1575185.4</v>
      </c>
      <c r="F117" s="0" t="n">
        <v>0.0875</v>
      </c>
      <c r="G117" s="0" t="n">
        <v>0.0875</v>
      </c>
      <c r="H117" s="0" t="n">
        <v>0.0108652285</v>
      </c>
      <c r="I117" s="4" t="n">
        <f aca="false">ROUND(D117*H117,2)</f>
        <v>1575185.4</v>
      </c>
      <c r="J117" s="4" t="n">
        <f aca="false">ROUND(E117-I117,2)</f>
        <v>0</v>
      </c>
    </row>
    <row r="118" customFormat="false" ht="15" hidden="false" customHeight="false" outlineLevel="0" collapsed="false">
      <c r="A118" s="0" t="s">
        <v>140</v>
      </c>
      <c r="B118" s="0" t="s">
        <v>119</v>
      </c>
      <c r="C118" s="0" t="s">
        <v>128</v>
      </c>
      <c r="D118" s="0" t="n">
        <v>144974898.67</v>
      </c>
      <c r="E118" s="0" t="n">
        <v>1575185.4</v>
      </c>
      <c r="F118" s="0" t="n">
        <v>0.0875</v>
      </c>
      <c r="G118" s="0" t="n">
        <v>0.0875</v>
      </c>
      <c r="H118" s="0" t="n">
        <v>0.0108652285</v>
      </c>
      <c r="I118" s="4" t="n">
        <f aca="false">ROUND(D118*H118,2)</f>
        <v>1575185.4</v>
      </c>
      <c r="J118" s="4" t="n">
        <f aca="false">ROUND(E118-I118,2)</f>
        <v>0</v>
      </c>
    </row>
    <row r="119" customFormat="false" ht="15" hidden="false" customHeight="false" outlineLevel="0" collapsed="false">
      <c r="A119" s="0" t="s">
        <v>140</v>
      </c>
      <c r="B119" s="0" t="s">
        <v>119</v>
      </c>
      <c r="C119" s="0" t="s">
        <v>129</v>
      </c>
      <c r="D119" s="0" t="n">
        <v>144974898.67</v>
      </c>
      <c r="E119" s="0" t="n">
        <v>1575185.4</v>
      </c>
      <c r="F119" s="0" t="n">
        <v>0.0875</v>
      </c>
      <c r="G119" s="0" t="n">
        <v>0.0875</v>
      </c>
      <c r="H119" s="0" t="n">
        <v>0.0108652285</v>
      </c>
      <c r="I119" s="4" t="n">
        <f aca="false">ROUND(D119*H119,2)</f>
        <v>1575185.4</v>
      </c>
      <c r="J119" s="4" t="n">
        <f aca="false">ROUND(E119-I119,2)</f>
        <v>0</v>
      </c>
    </row>
    <row r="120" customFormat="false" ht="15" hidden="false" customHeight="false" outlineLevel="0" collapsed="false">
      <c r="A120" s="0" t="s">
        <v>140</v>
      </c>
      <c r="B120" s="0" t="s">
        <v>119</v>
      </c>
      <c r="C120" s="0" t="s">
        <v>130</v>
      </c>
      <c r="D120" s="0" t="n">
        <v>144974898.67</v>
      </c>
      <c r="E120" s="0" t="n">
        <v>1575185.4</v>
      </c>
      <c r="F120" s="0" t="n">
        <v>0.0875</v>
      </c>
      <c r="G120" s="0" t="n">
        <v>0.0875</v>
      </c>
      <c r="H120" s="0" t="n">
        <v>0.0108652285</v>
      </c>
      <c r="I120" s="4" t="n">
        <f aca="false">ROUND(D120*H120,2)</f>
        <v>1575185.4</v>
      </c>
      <c r="J120" s="4" t="n">
        <f aca="false">ROUND(E120-I120,2)</f>
        <v>0</v>
      </c>
    </row>
    <row r="121" customFormat="false" ht="15" hidden="false" customHeight="false" outlineLevel="0" collapsed="false">
      <c r="A121" s="0" t="s">
        <v>140</v>
      </c>
      <c r="B121" s="0" t="s">
        <v>119</v>
      </c>
      <c r="C121" s="0" t="s">
        <v>131</v>
      </c>
      <c r="D121" s="0" t="n">
        <v>144974898.67</v>
      </c>
      <c r="E121" s="0" t="n">
        <v>1575185.4</v>
      </c>
      <c r="F121" s="0" t="n">
        <v>0.0875</v>
      </c>
      <c r="G121" s="0" t="n">
        <v>0.0875</v>
      </c>
      <c r="H121" s="0" t="n">
        <v>0.0108652285</v>
      </c>
      <c r="I121" s="4" t="n">
        <f aca="false">ROUND(D121*H121,2)</f>
        <v>1575185.4</v>
      </c>
      <c r="J121" s="4" t="n">
        <f aca="false">ROUND(E121-I121,2)</f>
        <v>0</v>
      </c>
    </row>
    <row r="122" customFormat="false" ht="15" hidden="false" customHeight="false" outlineLevel="0" collapsed="false">
      <c r="A122" s="0" t="s">
        <v>141</v>
      </c>
      <c r="B122" s="0" t="s">
        <v>119</v>
      </c>
      <c r="C122" s="0" t="s">
        <v>120</v>
      </c>
      <c r="D122" s="0" t="n">
        <v>1950697665.54</v>
      </c>
      <c r="E122" s="0" t="n">
        <v>24069588.74</v>
      </c>
      <c r="F122" s="0" t="n">
        <v>0.0853</v>
      </c>
      <c r="G122" s="0" t="n">
        <v>0.0853</v>
      </c>
      <c r="H122" s="0" t="n">
        <v>0.0123389642</v>
      </c>
      <c r="I122" s="4" t="n">
        <f aca="false">ROUND(D122*H122,2)</f>
        <v>24069588.66</v>
      </c>
      <c r="J122" s="4" t="n">
        <f aca="false">ROUND(E122-I122,2)</f>
        <v>0.08</v>
      </c>
    </row>
    <row r="123" customFormat="false" ht="15" hidden="false" customHeight="false" outlineLevel="0" collapsed="false">
      <c r="A123" s="0" t="s">
        <v>141</v>
      </c>
      <c r="B123" s="0" t="s">
        <v>119</v>
      </c>
      <c r="C123" s="0" t="s">
        <v>121</v>
      </c>
      <c r="D123" s="0" t="n">
        <v>1952494524.77</v>
      </c>
      <c r="E123" s="0" t="n">
        <v>24091760.12</v>
      </c>
      <c r="F123" s="0" t="n">
        <v>0.0853</v>
      </c>
      <c r="G123" s="0" t="n">
        <v>0.0853</v>
      </c>
      <c r="H123" s="0" t="n">
        <v>0.0123389642</v>
      </c>
      <c r="I123" s="4" t="n">
        <f aca="false">ROUND(D123*H123,2)</f>
        <v>24091760.04</v>
      </c>
      <c r="J123" s="4" t="n">
        <f aca="false">ROUND(E123-I123,2)</f>
        <v>0.08</v>
      </c>
    </row>
    <row r="124" customFormat="false" ht="15" hidden="false" customHeight="false" outlineLevel="0" collapsed="false">
      <c r="A124" s="0" t="s">
        <v>141</v>
      </c>
      <c r="B124" s="0" t="s">
        <v>119</v>
      </c>
      <c r="C124" s="0" t="s">
        <v>122</v>
      </c>
      <c r="D124" s="0" t="n">
        <v>1954776899.52</v>
      </c>
      <c r="E124" s="0" t="n">
        <v>24119922.26</v>
      </c>
      <c r="F124" s="0" t="n">
        <v>0.0853</v>
      </c>
      <c r="G124" s="0" t="n">
        <v>0.0853</v>
      </c>
      <c r="H124" s="0" t="n">
        <v>0.0123389642</v>
      </c>
      <c r="I124" s="4" t="n">
        <f aca="false">ROUND(D124*H124,2)</f>
        <v>24119922.18</v>
      </c>
      <c r="J124" s="4" t="n">
        <f aca="false">ROUND(E124-I124,2)</f>
        <v>0.08</v>
      </c>
    </row>
    <row r="125" customFormat="false" ht="15" hidden="false" customHeight="false" outlineLevel="0" collapsed="false">
      <c r="A125" s="0" t="s">
        <v>141</v>
      </c>
      <c r="B125" s="0" t="s">
        <v>119</v>
      </c>
      <c r="C125" s="0" t="s">
        <v>123</v>
      </c>
      <c r="D125" s="0" t="n">
        <v>1957220860.18</v>
      </c>
      <c r="E125" s="0" t="n">
        <v>24150078.2</v>
      </c>
      <c r="F125" s="0" t="n">
        <v>0.0853</v>
      </c>
      <c r="G125" s="0" t="n">
        <v>0.0853</v>
      </c>
      <c r="H125" s="0" t="n">
        <v>0.0123389642</v>
      </c>
      <c r="I125" s="4" t="n">
        <f aca="false">ROUND(D125*H125,2)</f>
        <v>24150078.13</v>
      </c>
      <c r="J125" s="4" t="n">
        <f aca="false">ROUND(E125-I125,2)</f>
        <v>0.07</v>
      </c>
    </row>
    <row r="126" customFormat="false" ht="15" hidden="false" customHeight="false" outlineLevel="0" collapsed="false">
      <c r="A126" s="0" t="s">
        <v>141</v>
      </c>
      <c r="B126" s="0" t="s">
        <v>119</v>
      </c>
      <c r="C126" s="0" t="s">
        <v>124</v>
      </c>
      <c r="D126" s="0" t="n">
        <v>1959603789.04</v>
      </c>
      <c r="E126" s="0" t="n">
        <v>24179481.07</v>
      </c>
      <c r="F126" s="0" t="n">
        <v>0.0853</v>
      </c>
      <c r="G126" s="0" t="n">
        <v>0.0853</v>
      </c>
      <c r="H126" s="0" t="n">
        <v>0.0123389642</v>
      </c>
      <c r="I126" s="4" t="n">
        <f aca="false">ROUND(D126*H126,2)</f>
        <v>24179481</v>
      </c>
      <c r="J126" s="4" t="n">
        <f aca="false">ROUND(E126-I126,2)</f>
        <v>0.07</v>
      </c>
    </row>
    <row r="127" customFormat="false" ht="15" hidden="false" customHeight="false" outlineLevel="0" collapsed="false">
      <c r="A127" s="0" t="s">
        <v>141</v>
      </c>
      <c r="B127" s="0" t="s">
        <v>119</v>
      </c>
      <c r="C127" s="0" t="s">
        <v>125</v>
      </c>
      <c r="D127" s="0" t="n">
        <v>1961733960.54</v>
      </c>
      <c r="E127" s="0" t="n">
        <v>24205765.18</v>
      </c>
      <c r="F127" s="0" t="n">
        <v>0.0853</v>
      </c>
      <c r="G127" s="0" t="n">
        <v>0.0853</v>
      </c>
      <c r="H127" s="0" t="n">
        <v>0.0123389642</v>
      </c>
      <c r="I127" s="4" t="n">
        <f aca="false">ROUND(D127*H127,2)</f>
        <v>24205765.11</v>
      </c>
      <c r="J127" s="4" t="n">
        <f aca="false">ROUND(E127-I127,2)</f>
        <v>0.07</v>
      </c>
    </row>
    <row r="128" customFormat="false" ht="15" hidden="false" customHeight="false" outlineLevel="0" collapsed="false">
      <c r="A128" s="0" t="s">
        <v>141</v>
      </c>
      <c r="B128" s="0" t="s">
        <v>119</v>
      </c>
      <c r="C128" s="0" t="s">
        <v>126</v>
      </c>
      <c r="D128" s="0" t="n">
        <v>1963677983.99</v>
      </c>
      <c r="E128" s="0" t="n">
        <v>24229752.42</v>
      </c>
      <c r="F128" s="0" t="n">
        <v>0.0853</v>
      </c>
      <c r="G128" s="0" t="n">
        <v>0.0853</v>
      </c>
      <c r="H128" s="0" t="n">
        <v>0.0123389642</v>
      </c>
      <c r="I128" s="4" t="n">
        <f aca="false">ROUND(D128*H128,2)</f>
        <v>24229752.34</v>
      </c>
      <c r="J128" s="4" t="n">
        <f aca="false">ROUND(E128-I128,2)</f>
        <v>0.08</v>
      </c>
    </row>
    <row r="129" customFormat="false" ht="15" hidden="false" customHeight="false" outlineLevel="0" collapsed="false">
      <c r="A129" s="0" t="s">
        <v>141</v>
      </c>
      <c r="B129" s="0" t="s">
        <v>119</v>
      </c>
      <c r="C129" s="0" t="s">
        <v>127</v>
      </c>
      <c r="D129" s="0" t="n">
        <v>1965715928.9</v>
      </c>
      <c r="E129" s="0" t="n">
        <v>24254898.55</v>
      </c>
      <c r="F129" s="0" t="n">
        <v>0.0853</v>
      </c>
      <c r="G129" s="0" t="n">
        <v>0.0853</v>
      </c>
      <c r="H129" s="0" t="n">
        <v>0.0123389642</v>
      </c>
      <c r="I129" s="4" t="n">
        <f aca="false">ROUND(D129*H129,2)</f>
        <v>24254898.47</v>
      </c>
      <c r="J129" s="4" t="n">
        <f aca="false">ROUND(E129-I129,2)</f>
        <v>0.08</v>
      </c>
    </row>
    <row r="130" customFormat="false" ht="15" hidden="false" customHeight="false" outlineLevel="0" collapsed="false">
      <c r="A130" s="0" t="s">
        <v>141</v>
      </c>
      <c r="B130" s="0" t="s">
        <v>119</v>
      </c>
      <c r="C130" s="0" t="s">
        <v>128</v>
      </c>
      <c r="D130" s="0" t="n">
        <v>1967502548.85</v>
      </c>
      <c r="E130" s="0" t="n">
        <v>24276943.59</v>
      </c>
      <c r="F130" s="0" t="n">
        <v>0.0853</v>
      </c>
      <c r="G130" s="0" t="n">
        <v>0.0853</v>
      </c>
      <c r="H130" s="0" t="n">
        <v>0.0123389642</v>
      </c>
      <c r="I130" s="4" t="n">
        <f aca="false">ROUND(D130*H130,2)</f>
        <v>24276943.51</v>
      </c>
      <c r="J130" s="4" t="n">
        <f aca="false">ROUND(E130-I130,2)</f>
        <v>0.08</v>
      </c>
    </row>
    <row r="131" customFormat="false" ht="15" hidden="false" customHeight="false" outlineLevel="0" collapsed="false">
      <c r="A131" s="0" t="s">
        <v>141</v>
      </c>
      <c r="B131" s="0" t="s">
        <v>119</v>
      </c>
      <c r="C131" s="0" t="s">
        <v>129</v>
      </c>
      <c r="D131" s="0" t="n">
        <v>1969528425.25</v>
      </c>
      <c r="E131" s="0" t="n">
        <v>24301940.81</v>
      </c>
      <c r="F131" s="0" t="n">
        <v>0.0853</v>
      </c>
      <c r="G131" s="0" t="n">
        <v>0.0853</v>
      </c>
      <c r="H131" s="0" t="n">
        <v>0.0123389642</v>
      </c>
      <c r="I131" s="4" t="n">
        <f aca="false">ROUND(D131*H131,2)</f>
        <v>24301940.73</v>
      </c>
      <c r="J131" s="4" t="n">
        <f aca="false">ROUND(E131-I131,2)</f>
        <v>0.08</v>
      </c>
    </row>
    <row r="132" customFormat="false" ht="15" hidden="false" customHeight="false" outlineLevel="0" collapsed="false">
      <c r="A132" s="0" t="s">
        <v>141</v>
      </c>
      <c r="B132" s="0" t="s">
        <v>119</v>
      </c>
      <c r="C132" s="0" t="s">
        <v>130</v>
      </c>
      <c r="D132" s="0" t="n">
        <v>1971783038.18</v>
      </c>
      <c r="E132" s="0" t="n">
        <v>24329760.39</v>
      </c>
      <c r="F132" s="0" t="n">
        <v>0.0853</v>
      </c>
      <c r="G132" s="0" t="n">
        <v>0.0853</v>
      </c>
      <c r="H132" s="0" t="n">
        <v>0.0123389642</v>
      </c>
      <c r="I132" s="4" t="n">
        <f aca="false">ROUND(D132*H132,2)</f>
        <v>24329760.32</v>
      </c>
      <c r="J132" s="4" t="n">
        <f aca="false">ROUND(E132-I132,2)</f>
        <v>0.07</v>
      </c>
    </row>
    <row r="133" customFormat="false" ht="15" hidden="false" customHeight="false" outlineLevel="0" collapsed="false">
      <c r="A133" s="0" t="s">
        <v>141</v>
      </c>
      <c r="B133" s="0" t="s">
        <v>119</v>
      </c>
      <c r="C133" s="0" t="s">
        <v>131</v>
      </c>
      <c r="D133" s="0" t="n">
        <v>1973848225.48</v>
      </c>
      <c r="E133" s="0" t="n">
        <v>24355242.67</v>
      </c>
      <c r="F133" s="0" t="n">
        <v>0.0853</v>
      </c>
      <c r="G133" s="0" t="n">
        <v>0.0853</v>
      </c>
      <c r="H133" s="0" t="n">
        <v>0.0123389642</v>
      </c>
      <c r="I133" s="4" t="n">
        <f aca="false">ROUND(D133*H133,2)</f>
        <v>24355242.59</v>
      </c>
      <c r="J133" s="4" t="n">
        <f aca="false">ROUND(E133-I133,2)</f>
        <v>0.08</v>
      </c>
    </row>
    <row r="134" customFormat="false" ht="15" hidden="false" customHeight="false" outlineLevel="0" collapsed="false">
      <c r="A134" s="0" t="s">
        <v>142</v>
      </c>
      <c r="B134" s="0" t="s">
        <v>119</v>
      </c>
      <c r="C134" s="0" t="s">
        <v>120</v>
      </c>
      <c r="D134" s="0" t="n">
        <v>486151019.98</v>
      </c>
      <c r="E134" s="0" t="n">
        <v>4648763.42</v>
      </c>
      <c r="F134" s="0" t="n">
        <v>0.0713</v>
      </c>
      <c r="G134" s="0" t="n">
        <v>0.0713</v>
      </c>
      <c r="H134" s="0" t="n">
        <v>0.0095623854</v>
      </c>
      <c r="I134" s="4" t="n">
        <f aca="false">ROUND(D134*H134,2)</f>
        <v>4648763.42</v>
      </c>
      <c r="J134" s="4" t="n">
        <f aca="false">ROUND(E134-I134,2)</f>
        <v>0</v>
      </c>
    </row>
    <row r="135" customFormat="false" ht="15" hidden="false" customHeight="false" outlineLevel="0" collapsed="false">
      <c r="A135" s="0" t="s">
        <v>142</v>
      </c>
      <c r="B135" s="0" t="s">
        <v>119</v>
      </c>
      <c r="C135" s="0" t="s">
        <v>121</v>
      </c>
      <c r="D135" s="0" t="n">
        <v>486549682.05</v>
      </c>
      <c r="E135" s="0" t="n">
        <v>4652575.58</v>
      </c>
      <c r="F135" s="0" t="n">
        <v>0.0713</v>
      </c>
      <c r="G135" s="0" t="n">
        <v>0.0713</v>
      </c>
      <c r="H135" s="0" t="n">
        <v>0.0095623854</v>
      </c>
      <c r="I135" s="4" t="n">
        <f aca="false">ROUND(D135*H135,2)</f>
        <v>4652575.58</v>
      </c>
      <c r="J135" s="4" t="n">
        <f aca="false">ROUND(E135-I135,2)</f>
        <v>0</v>
      </c>
    </row>
    <row r="136" customFormat="false" ht="15" hidden="false" customHeight="false" outlineLevel="0" collapsed="false">
      <c r="A136" s="0" t="s">
        <v>142</v>
      </c>
      <c r="B136" s="0" t="s">
        <v>119</v>
      </c>
      <c r="C136" s="0" t="s">
        <v>122</v>
      </c>
      <c r="D136" s="0" t="n">
        <v>486836997.86</v>
      </c>
      <c r="E136" s="0" t="n">
        <v>4655323.01</v>
      </c>
      <c r="F136" s="0" t="n">
        <v>0.0713</v>
      </c>
      <c r="G136" s="0" t="n">
        <v>0.0713</v>
      </c>
      <c r="H136" s="0" t="n">
        <v>0.0095623854</v>
      </c>
      <c r="I136" s="4" t="n">
        <f aca="false">ROUND(D136*H136,2)</f>
        <v>4655323</v>
      </c>
      <c r="J136" s="4" t="n">
        <f aca="false">ROUND(E136-I136,2)</f>
        <v>0.01</v>
      </c>
    </row>
    <row r="137" customFormat="false" ht="15" hidden="false" customHeight="false" outlineLevel="0" collapsed="false">
      <c r="A137" s="0" t="s">
        <v>142</v>
      </c>
      <c r="B137" s="0" t="s">
        <v>119</v>
      </c>
      <c r="C137" s="0" t="s">
        <v>123</v>
      </c>
      <c r="D137" s="0" t="n">
        <v>487344124.58</v>
      </c>
      <c r="E137" s="0" t="n">
        <v>4660172.35</v>
      </c>
      <c r="F137" s="0" t="n">
        <v>0.0713</v>
      </c>
      <c r="G137" s="0" t="n">
        <v>0.0713</v>
      </c>
      <c r="H137" s="0" t="n">
        <v>0.0095623854</v>
      </c>
      <c r="I137" s="4" t="n">
        <f aca="false">ROUND(D137*H137,2)</f>
        <v>4660172.34</v>
      </c>
      <c r="J137" s="4" t="n">
        <f aca="false">ROUND(E137-I137,2)</f>
        <v>0.01</v>
      </c>
    </row>
    <row r="138" customFormat="false" ht="15" hidden="false" customHeight="false" outlineLevel="0" collapsed="false">
      <c r="A138" s="0" t="s">
        <v>142</v>
      </c>
      <c r="B138" s="0" t="s">
        <v>119</v>
      </c>
      <c r="C138" s="0" t="s">
        <v>124</v>
      </c>
      <c r="D138" s="0" t="n">
        <v>487921334.17</v>
      </c>
      <c r="E138" s="0" t="n">
        <v>4665691.85</v>
      </c>
      <c r="F138" s="0" t="n">
        <v>0.0713</v>
      </c>
      <c r="G138" s="0" t="n">
        <v>0.0713</v>
      </c>
      <c r="H138" s="0" t="n">
        <v>0.0095623854</v>
      </c>
      <c r="I138" s="4" t="n">
        <f aca="false">ROUND(D138*H138,2)</f>
        <v>4665691.84</v>
      </c>
      <c r="J138" s="4" t="n">
        <f aca="false">ROUND(E138-I138,2)</f>
        <v>0.01</v>
      </c>
    </row>
    <row r="139" customFormat="false" ht="15" hidden="false" customHeight="false" outlineLevel="0" collapsed="false">
      <c r="A139" s="0" t="s">
        <v>142</v>
      </c>
      <c r="B139" s="0" t="s">
        <v>119</v>
      </c>
      <c r="C139" s="0" t="s">
        <v>125</v>
      </c>
      <c r="D139" s="0" t="n">
        <v>488359788.67</v>
      </c>
      <c r="E139" s="0" t="n">
        <v>4669884.52</v>
      </c>
      <c r="F139" s="0" t="n">
        <v>0.0713</v>
      </c>
      <c r="G139" s="0" t="n">
        <v>0.0713</v>
      </c>
      <c r="H139" s="0" t="n">
        <v>0.0095623854</v>
      </c>
      <c r="I139" s="4" t="n">
        <f aca="false">ROUND(D139*H139,2)</f>
        <v>4669884.51</v>
      </c>
      <c r="J139" s="4" t="n">
        <f aca="false">ROUND(E139-I139,2)</f>
        <v>0.01</v>
      </c>
    </row>
    <row r="140" customFormat="false" ht="15" hidden="false" customHeight="false" outlineLevel="0" collapsed="false">
      <c r="A140" s="0" t="s">
        <v>142</v>
      </c>
      <c r="B140" s="0" t="s">
        <v>119</v>
      </c>
      <c r="C140" s="0" t="s">
        <v>126</v>
      </c>
      <c r="D140" s="0" t="n">
        <v>488991408.76</v>
      </c>
      <c r="E140" s="0" t="n">
        <v>4675924.31</v>
      </c>
      <c r="F140" s="0" t="n">
        <v>0.0713</v>
      </c>
      <c r="G140" s="0" t="n">
        <v>0.0713</v>
      </c>
      <c r="H140" s="0" t="n">
        <v>0.0095623854</v>
      </c>
      <c r="I140" s="4" t="n">
        <f aca="false">ROUND(D140*H140,2)</f>
        <v>4675924.31</v>
      </c>
      <c r="J140" s="4" t="n">
        <f aca="false">ROUND(E140-I140,2)</f>
        <v>0</v>
      </c>
    </row>
    <row r="141" customFormat="false" ht="15" hidden="false" customHeight="false" outlineLevel="0" collapsed="false">
      <c r="A141" s="0" t="s">
        <v>142</v>
      </c>
      <c r="B141" s="0" t="s">
        <v>119</v>
      </c>
      <c r="C141" s="0" t="s">
        <v>127</v>
      </c>
      <c r="D141" s="0" t="n">
        <v>489899836.2</v>
      </c>
      <c r="E141" s="0" t="n">
        <v>4684611.05</v>
      </c>
      <c r="F141" s="0" t="n">
        <v>0.0713</v>
      </c>
      <c r="G141" s="0" t="n">
        <v>0.0713</v>
      </c>
      <c r="H141" s="0" t="n">
        <v>0.0095623854</v>
      </c>
      <c r="I141" s="4" t="n">
        <f aca="false">ROUND(D141*H141,2)</f>
        <v>4684611.04</v>
      </c>
      <c r="J141" s="4" t="n">
        <f aca="false">ROUND(E141-I141,2)</f>
        <v>0.01</v>
      </c>
    </row>
    <row r="142" customFormat="false" ht="15" hidden="false" customHeight="false" outlineLevel="0" collapsed="false">
      <c r="A142" s="0" t="s">
        <v>142</v>
      </c>
      <c r="B142" s="0" t="s">
        <v>119</v>
      </c>
      <c r="C142" s="0" t="s">
        <v>128</v>
      </c>
      <c r="D142" s="0" t="n">
        <v>490907052.27</v>
      </c>
      <c r="E142" s="0" t="n">
        <v>4694242.44</v>
      </c>
      <c r="F142" s="0" t="n">
        <v>0.0713</v>
      </c>
      <c r="G142" s="0" t="n">
        <v>0.0713</v>
      </c>
      <c r="H142" s="0" t="n">
        <v>0.0095623854</v>
      </c>
      <c r="I142" s="4" t="n">
        <f aca="false">ROUND(D142*H142,2)</f>
        <v>4694242.43</v>
      </c>
      <c r="J142" s="4" t="n">
        <f aca="false">ROUND(E142-I142,2)</f>
        <v>0.01</v>
      </c>
    </row>
    <row r="143" customFormat="false" ht="15" hidden="false" customHeight="false" outlineLevel="0" collapsed="false">
      <c r="A143" s="0" t="s">
        <v>142</v>
      </c>
      <c r="B143" s="0" t="s">
        <v>119</v>
      </c>
      <c r="C143" s="0" t="s">
        <v>129</v>
      </c>
      <c r="D143" s="0" t="n">
        <v>491468964.57</v>
      </c>
      <c r="E143" s="0" t="n">
        <v>4699615.66</v>
      </c>
      <c r="F143" s="0" t="n">
        <v>0.0713</v>
      </c>
      <c r="G143" s="0" t="n">
        <v>0.0713</v>
      </c>
      <c r="H143" s="0" t="n">
        <v>0.0095623854</v>
      </c>
      <c r="I143" s="4" t="n">
        <f aca="false">ROUND(D143*H143,2)</f>
        <v>4699615.65</v>
      </c>
      <c r="J143" s="4" t="n">
        <f aca="false">ROUND(E143-I143,2)</f>
        <v>0.01</v>
      </c>
    </row>
    <row r="144" customFormat="false" ht="15" hidden="false" customHeight="false" outlineLevel="0" collapsed="false">
      <c r="A144" s="0" t="s">
        <v>142</v>
      </c>
      <c r="B144" s="0" t="s">
        <v>119</v>
      </c>
      <c r="C144" s="0" t="s">
        <v>130</v>
      </c>
      <c r="D144" s="0" t="n">
        <v>491760258.9</v>
      </c>
      <c r="E144" s="0" t="n">
        <v>4702401.13</v>
      </c>
      <c r="F144" s="0" t="n">
        <v>0.0713</v>
      </c>
      <c r="G144" s="0" t="n">
        <v>0.0713</v>
      </c>
      <c r="H144" s="0" t="n">
        <v>0.0095623854</v>
      </c>
      <c r="I144" s="4" t="n">
        <f aca="false">ROUND(D144*H144,2)</f>
        <v>4702401.12</v>
      </c>
      <c r="J144" s="4" t="n">
        <f aca="false">ROUND(E144-I144,2)</f>
        <v>0.01</v>
      </c>
    </row>
    <row r="145" customFormat="false" ht="15" hidden="false" customHeight="false" outlineLevel="0" collapsed="false">
      <c r="A145" s="0" t="s">
        <v>142</v>
      </c>
      <c r="B145" s="0" t="s">
        <v>119</v>
      </c>
      <c r="C145" s="0" t="s">
        <v>131</v>
      </c>
      <c r="D145" s="0" t="n">
        <v>492195675.86</v>
      </c>
      <c r="E145" s="0" t="n">
        <v>4706564.75</v>
      </c>
      <c r="F145" s="0" t="n">
        <v>0.0713</v>
      </c>
      <c r="G145" s="0" t="n">
        <v>0.0713</v>
      </c>
      <c r="H145" s="0" t="n">
        <v>0.0095623854</v>
      </c>
      <c r="I145" s="4" t="n">
        <f aca="false">ROUND(D145*H145,2)</f>
        <v>4706564.74</v>
      </c>
      <c r="J145" s="4" t="n">
        <f aca="false">ROUND(E145-I145,2)</f>
        <v>0.01</v>
      </c>
    </row>
    <row r="146" customFormat="false" ht="15" hidden="false" customHeight="false" outlineLevel="0" collapsed="false">
      <c r="A146" s="0" t="s">
        <v>143</v>
      </c>
      <c r="B146" s="0" t="s">
        <v>119</v>
      </c>
      <c r="C146" s="0" t="s">
        <v>120</v>
      </c>
      <c r="D146" s="0" t="n">
        <v>599682895.74</v>
      </c>
      <c r="E146" s="0" t="n">
        <v>6993850.4</v>
      </c>
      <c r="F146" s="0" t="n">
        <v>0.078</v>
      </c>
      <c r="G146" s="0" t="n">
        <v>0.078</v>
      </c>
      <c r="H146" s="0" t="n">
        <v>0.0116625811</v>
      </c>
      <c r="I146" s="4" t="n">
        <f aca="false">ROUND(D146*H146,2)</f>
        <v>6993850.41</v>
      </c>
      <c r="J146" s="4" t="n">
        <f aca="false">ROUND(E146-I146,2)</f>
        <v>-0.01</v>
      </c>
    </row>
    <row r="147" customFormat="false" ht="15" hidden="false" customHeight="false" outlineLevel="0" collapsed="false">
      <c r="A147" s="0" t="s">
        <v>143</v>
      </c>
      <c r="B147" s="0" t="s">
        <v>119</v>
      </c>
      <c r="C147" s="0" t="s">
        <v>121</v>
      </c>
      <c r="D147" s="0" t="n">
        <v>664458854.64</v>
      </c>
      <c r="E147" s="0" t="n">
        <v>7749305.28</v>
      </c>
      <c r="F147" s="0" t="n">
        <v>0.078</v>
      </c>
      <c r="G147" s="0" t="n">
        <v>0.078</v>
      </c>
      <c r="H147" s="0" t="n">
        <v>0.0116625811</v>
      </c>
      <c r="I147" s="4" t="n">
        <f aca="false">ROUND(D147*H147,2)</f>
        <v>7749305.28</v>
      </c>
      <c r="J147" s="4" t="n">
        <f aca="false">ROUND(E147-I147,2)</f>
        <v>0</v>
      </c>
    </row>
    <row r="148" customFormat="false" ht="15" hidden="false" customHeight="false" outlineLevel="0" collapsed="false">
      <c r="A148" s="0" t="s">
        <v>143</v>
      </c>
      <c r="B148" s="0" t="s">
        <v>119</v>
      </c>
      <c r="C148" s="0" t="s">
        <v>122</v>
      </c>
      <c r="D148" s="0" t="n">
        <v>737942251.1</v>
      </c>
      <c r="E148" s="0" t="n">
        <v>8606311.35</v>
      </c>
      <c r="F148" s="0" t="n">
        <v>0.078</v>
      </c>
      <c r="G148" s="0" t="n">
        <v>0.078</v>
      </c>
      <c r="H148" s="0" t="n">
        <v>0.0116625811</v>
      </c>
      <c r="I148" s="4" t="n">
        <f aca="false">ROUND(D148*H148,2)</f>
        <v>8606311.35</v>
      </c>
      <c r="J148" s="4" t="n">
        <f aca="false">ROUND(E148-I148,2)</f>
        <v>0</v>
      </c>
    </row>
    <row r="149" customFormat="false" ht="15" hidden="false" customHeight="false" outlineLevel="0" collapsed="false">
      <c r="A149" s="0" t="s">
        <v>143</v>
      </c>
      <c r="B149" s="0" t="s">
        <v>119</v>
      </c>
      <c r="C149" s="0" t="s">
        <v>123</v>
      </c>
      <c r="D149" s="0" t="n">
        <v>815726112.39</v>
      </c>
      <c r="E149" s="0" t="n">
        <v>9513471.94</v>
      </c>
      <c r="F149" s="0" t="n">
        <v>0.078</v>
      </c>
      <c r="G149" s="0" t="n">
        <v>0.078</v>
      </c>
      <c r="H149" s="0" t="n">
        <v>0.0116625811</v>
      </c>
      <c r="I149" s="4" t="n">
        <f aca="false">ROUND(D149*H149,2)</f>
        <v>9513471.94</v>
      </c>
      <c r="J149" s="4" t="n">
        <f aca="false">ROUND(E149-I149,2)</f>
        <v>0</v>
      </c>
    </row>
    <row r="150" customFormat="false" ht="15" hidden="false" customHeight="false" outlineLevel="0" collapsed="false">
      <c r="A150" s="0" t="s">
        <v>143</v>
      </c>
      <c r="B150" s="0" t="s">
        <v>119</v>
      </c>
      <c r="C150" s="0" t="s">
        <v>124</v>
      </c>
      <c r="D150" s="0" t="n">
        <v>894173882.26</v>
      </c>
      <c r="E150" s="0" t="n">
        <v>10428375.42</v>
      </c>
      <c r="F150" s="0" t="n">
        <v>0.078</v>
      </c>
      <c r="G150" s="0" t="n">
        <v>0.078</v>
      </c>
      <c r="H150" s="0" t="n">
        <v>0.0116625811</v>
      </c>
      <c r="I150" s="4" t="n">
        <f aca="false">ROUND(D150*H150,2)</f>
        <v>10428375.42</v>
      </c>
      <c r="J150" s="4" t="n">
        <f aca="false">ROUND(E150-I150,2)</f>
        <v>0</v>
      </c>
    </row>
    <row r="151" customFormat="false" ht="15" hidden="false" customHeight="false" outlineLevel="0" collapsed="false">
      <c r="A151" s="0" t="s">
        <v>143</v>
      </c>
      <c r="B151" s="0" t="s">
        <v>119</v>
      </c>
      <c r="C151" s="0" t="s">
        <v>125</v>
      </c>
      <c r="D151" s="0" t="n">
        <v>972992083.83</v>
      </c>
      <c r="E151" s="0" t="n">
        <v>11347599.09</v>
      </c>
      <c r="F151" s="0" t="n">
        <v>0.078</v>
      </c>
      <c r="G151" s="0" t="n">
        <v>0.078</v>
      </c>
      <c r="H151" s="0" t="n">
        <v>0.0116625811</v>
      </c>
      <c r="I151" s="4" t="n">
        <f aca="false">ROUND(D151*H151,2)</f>
        <v>11347599.09</v>
      </c>
      <c r="J151" s="4" t="n">
        <f aca="false">ROUND(E151-I151,2)</f>
        <v>0</v>
      </c>
    </row>
    <row r="152" customFormat="false" ht="15" hidden="false" customHeight="false" outlineLevel="0" collapsed="false">
      <c r="A152" s="0" t="s">
        <v>143</v>
      </c>
      <c r="B152" s="0" t="s">
        <v>119</v>
      </c>
      <c r="C152" s="0" t="s">
        <v>126</v>
      </c>
      <c r="D152" s="0" t="n">
        <v>1053419508.54</v>
      </c>
      <c r="E152" s="0" t="n">
        <v>12285590.45</v>
      </c>
      <c r="F152" s="0" t="n">
        <v>0.078</v>
      </c>
      <c r="G152" s="0" t="n">
        <v>0.078</v>
      </c>
      <c r="H152" s="0" t="n">
        <v>0.0116625811</v>
      </c>
      <c r="I152" s="4" t="n">
        <f aca="false">ROUND(D152*H152,2)</f>
        <v>12285590.45</v>
      </c>
      <c r="J152" s="4" t="n">
        <f aca="false">ROUND(E152-I152,2)</f>
        <v>0</v>
      </c>
    </row>
    <row r="153" customFormat="false" ht="15" hidden="false" customHeight="false" outlineLevel="0" collapsed="false">
      <c r="A153" s="0" t="s">
        <v>143</v>
      </c>
      <c r="B153" s="0" t="s">
        <v>119</v>
      </c>
      <c r="C153" s="0" t="s">
        <v>127</v>
      </c>
      <c r="D153" s="0" t="n">
        <v>1136508655.27</v>
      </c>
      <c r="E153" s="0" t="n">
        <v>13254624.36</v>
      </c>
      <c r="F153" s="0" t="n">
        <v>0.078</v>
      </c>
      <c r="G153" s="0" t="n">
        <v>0.078</v>
      </c>
      <c r="H153" s="0" t="n">
        <v>0.0116625811</v>
      </c>
      <c r="I153" s="4" t="n">
        <f aca="false">ROUND(D153*H153,2)</f>
        <v>13254624.36</v>
      </c>
      <c r="J153" s="4" t="n">
        <f aca="false">ROUND(E153-I153,2)</f>
        <v>0</v>
      </c>
    </row>
    <row r="154" customFormat="false" ht="15" hidden="false" customHeight="false" outlineLevel="0" collapsed="false">
      <c r="A154" s="0" t="s">
        <v>143</v>
      </c>
      <c r="B154" s="0" t="s">
        <v>119</v>
      </c>
      <c r="C154" s="0" t="s">
        <v>128</v>
      </c>
      <c r="D154" s="0" t="n">
        <v>1225531413.11</v>
      </c>
      <c r="E154" s="0" t="n">
        <v>14292859.49</v>
      </c>
      <c r="F154" s="0" t="n">
        <v>0.078</v>
      </c>
      <c r="G154" s="0" t="n">
        <v>0.078</v>
      </c>
      <c r="H154" s="0" t="n">
        <v>0.0116625811</v>
      </c>
      <c r="I154" s="4" t="n">
        <f aca="false">ROUND(D154*H154,2)</f>
        <v>14292859.5</v>
      </c>
      <c r="J154" s="4" t="n">
        <f aca="false">ROUND(E154-I154,2)</f>
        <v>-0.01</v>
      </c>
    </row>
    <row r="155" customFormat="false" ht="15" hidden="false" customHeight="false" outlineLevel="0" collapsed="false">
      <c r="A155" s="0" t="s">
        <v>143</v>
      </c>
      <c r="B155" s="0" t="s">
        <v>119</v>
      </c>
      <c r="C155" s="0" t="s">
        <v>129</v>
      </c>
      <c r="D155" s="0" t="n">
        <v>1316153535.82</v>
      </c>
      <c r="E155" s="0" t="n">
        <v>15349747.35</v>
      </c>
      <c r="F155" s="0" t="n">
        <v>0.078</v>
      </c>
      <c r="G155" s="0" t="n">
        <v>0.078</v>
      </c>
      <c r="H155" s="0" t="n">
        <v>0.0116625811</v>
      </c>
      <c r="I155" s="4" t="n">
        <f aca="false">ROUND(D155*H155,2)</f>
        <v>15349747.35</v>
      </c>
      <c r="J155" s="4" t="n">
        <f aca="false">ROUND(E155-I155,2)</f>
        <v>0</v>
      </c>
    </row>
    <row r="156" customFormat="false" ht="15" hidden="false" customHeight="false" outlineLevel="0" collapsed="false">
      <c r="A156" s="0" t="s">
        <v>143</v>
      </c>
      <c r="B156" s="0" t="s">
        <v>119</v>
      </c>
      <c r="C156" s="0" t="s">
        <v>130</v>
      </c>
      <c r="D156" s="0" t="n">
        <v>1404311027.1</v>
      </c>
      <c r="E156" s="0" t="n">
        <v>16377891.24</v>
      </c>
      <c r="F156" s="0" t="n">
        <v>0.078</v>
      </c>
      <c r="G156" s="0" t="n">
        <v>0.078</v>
      </c>
      <c r="H156" s="0" t="n">
        <v>0.0116625811</v>
      </c>
      <c r="I156" s="4" t="n">
        <f aca="false">ROUND(D156*H156,2)</f>
        <v>16377891.24</v>
      </c>
      <c r="J156" s="4" t="n">
        <f aca="false">ROUND(E156-I156,2)</f>
        <v>0</v>
      </c>
    </row>
    <row r="157" customFormat="false" ht="15" hidden="false" customHeight="false" outlineLevel="0" collapsed="false">
      <c r="A157" s="0" t="s">
        <v>143</v>
      </c>
      <c r="B157" s="0" t="s">
        <v>119</v>
      </c>
      <c r="C157" s="0" t="s">
        <v>131</v>
      </c>
      <c r="D157" s="0" t="n">
        <v>1494265222.9</v>
      </c>
      <c r="E157" s="0" t="n">
        <v>17426989.35</v>
      </c>
      <c r="F157" s="0" t="n">
        <v>0.078</v>
      </c>
      <c r="G157" s="0" t="n">
        <v>0.078</v>
      </c>
      <c r="H157" s="0" t="n">
        <v>0.0116625811</v>
      </c>
      <c r="I157" s="4" t="n">
        <f aca="false">ROUND(D157*H157,2)</f>
        <v>17426989.35</v>
      </c>
      <c r="J157" s="4" t="n">
        <f aca="false">ROUND(E157-I157,2)</f>
        <v>0</v>
      </c>
    </row>
    <row r="158" customFormat="false" ht="15" hidden="false" customHeight="false" outlineLevel="0" collapsed="false">
      <c r="A158" s="0" t="s">
        <v>144</v>
      </c>
      <c r="B158" s="0" t="s">
        <v>119</v>
      </c>
      <c r="C158" s="0" t="s">
        <v>120</v>
      </c>
      <c r="D158" s="0" t="n">
        <v>68118257.03</v>
      </c>
      <c r="E158" s="0" t="n">
        <v>643093.56</v>
      </c>
      <c r="F158" s="0" t="n">
        <v>0.0698</v>
      </c>
      <c r="G158" s="0" t="n">
        <v>0.0698</v>
      </c>
      <c r="H158" s="0" t="n">
        <v>0.0094408399</v>
      </c>
      <c r="I158" s="4" t="n">
        <f aca="false">ROUND(D158*H158,2)</f>
        <v>643093.56</v>
      </c>
      <c r="J158" s="4" t="n">
        <f aca="false">ROUND(E158-I158,2)</f>
        <v>0</v>
      </c>
    </row>
    <row r="159" customFormat="false" ht="15" hidden="false" customHeight="false" outlineLevel="0" collapsed="false">
      <c r="A159" s="0" t="s">
        <v>144</v>
      </c>
      <c r="B159" s="0" t="s">
        <v>119</v>
      </c>
      <c r="C159" s="0" t="s">
        <v>121</v>
      </c>
      <c r="D159" s="0" t="n">
        <v>68118257.03</v>
      </c>
      <c r="E159" s="0" t="n">
        <v>643093.56</v>
      </c>
      <c r="F159" s="0" t="n">
        <v>0.0698</v>
      </c>
      <c r="G159" s="0" t="n">
        <v>0.0698</v>
      </c>
      <c r="H159" s="0" t="n">
        <v>0.0094408399</v>
      </c>
      <c r="I159" s="4" t="n">
        <f aca="false">ROUND(D159*H159,2)</f>
        <v>643093.56</v>
      </c>
      <c r="J159" s="4" t="n">
        <f aca="false">ROUND(E159-I159,2)</f>
        <v>0</v>
      </c>
    </row>
    <row r="160" customFormat="false" ht="15" hidden="false" customHeight="false" outlineLevel="0" collapsed="false">
      <c r="A160" s="0" t="s">
        <v>144</v>
      </c>
      <c r="B160" s="0" t="s">
        <v>119</v>
      </c>
      <c r="C160" s="0" t="s">
        <v>122</v>
      </c>
      <c r="D160" s="0" t="n">
        <v>68118257.03</v>
      </c>
      <c r="E160" s="0" t="n">
        <v>643093.56</v>
      </c>
      <c r="F160" s="0" t="n">
        <v>0.0698</v>
      </c>
      <c r="G160" s="0" t="n">
        <v>0.0698</v>
      </c>
      <c r="H160" s="0" t="n">
        <v>0.0094408399</v>
      </c>
      <c r="I160" s="4" t="n">
        <f aca="false">ROUND(D160*H160,2)</f>
        <v>643093.56</v>
      </c>
      <c r="J160" s="4" t="n">
        <f aca="false">ROUND(E160-I160,2)</f>
        <v>0</v>
      </c>
    </row>
    <row r="161" customFormat="false" ht="15" hidden="false" customHeight="false" outlineLevel="0" collapsed="false">
      <c r="A161" s="0" t="s">
        <v>144</v>
      </c>
      <c r="B161" s="0" t="s">
        <v>119</v>
      </c>
      <c r="C161" s="0" t="s">
        <v>123</v>
      </c>
      <c r="D161" s="0" t="n">
        <v>68118257.03</v>
      </c>
      <c r="E161" s="0" t="n">
        <v>643093.56</v>
      </c>
      <c r="F161" s="0" t="n">
        <v>0.0698</v>
      </c>
      <c r="G161" s="0" t="n">
        <v>0.0698</v>
      </c>
      <c r="H161" s="0" t="n">
        <v>0.0094408399</v>
      </c>
      <c r="I161" s="4" t="n">
        <f aca="false">ROUND(D161*H161,2)</f>
        <v>643093.56</v>
      </c>
      <c r="J161" s="4" t="n">
        <f aca="false">ROUND(E161-I161,2)</f>
        <v>0</v>
      </c>
    </row>
    <row r="162" customFormat="false" ht="15" hidden="false" customHeight="false" outlineLevel="0" collapsed="false">
      <c r="A162" s="0" t="s">
        <v>144</v>
      </c>
      <c r="B162" s="0" t="s">
        <v>119</v>
      </c>
      <c r="C162" s="0" t="s">
        <v>124</v>
      </c>
      <c r="D162" s="0" t="n">
        <v>68118257.03</v>
      </c>
      <c r="E162" s="0" t="n">
        <v>643093.56</v>
      </c>
      <c r="F162" s="0" t="n">
        <v>0.0698</v>
      </c>
      <c r="G162" s="0" t="n">
        <v>0.0698</v>
      </c>
      <c r="H162" s="0" t="n">
        <v>0.0094408399</v>
      </c>
      <c r="I162" s="4" t="n">
        <f aca="false">ROUND(D162*H162,2)</f>
        <v>643093.56</v>
      </c>
      <c r="J162" s="4" t="n">
        <f aca="false">ROUND(E162-I162,2)</f>
        <v>0</v>
      </c>
    </row>
    <row r="163" customFormat="false" ht="15" hidden="false" customHeight="false" outlineLevel="0" collapsed="false">
      <c r="A163" s="0" t="s">
        <v>144</v>
      </c>
      <c r="B163" s="0" t="s">
        <v>119</v>
      </c>
      <c r="C163" s="0" t="s">
        <v>125</v>
      </c>
      <c r="D163" s="0" t="n">
        <v>68118257.03</v>
      </c>
      <c r="E163" s="0" t="n">
        <v>643093.56</v>
      </c>
      <c r="F163" s="0" t="n">
        <v>0.0698</v>
      </c>
      <c r="G163" s="0" t="n">
        <v>0.0698</v>
      </c>
      <c r="H163" s="0" t="n">
        <v>0.0094408399</v>
      </c>
      <c r="I163" s="4" t="n">
        <f aca="false">ROUND(D163*H163,2)</f>
        <v>643093.56</v>
      </c>
      <c r="J163" s="4" t="n">
        <f aca="false">ROUND(E163-I163,2)</f>
        <v>0</v>
      </c>
    </row>
    <row r="164" customFormat="false" ht="15" hidden="false" customHeight="false" outlineLevel="0" collapsed="false">
      <c r="A164" s="0" t="s">
        <v>144</v>
      </c>
      <c r="B164" s="0" t="s">
        <v>119</v>
      </c>
      <c r="C164" s="0" t="s">
        <v>126</v>
      </c>
      <c r="D164" s="0" t="n">
        <v>68118257.03</v>
      </c>
      <c r="E164" s="0" t="n">
        <v>643093.56</v>
      </c>
      <c r="F164" s="0" t="n">
        <v>0.0698</v>
      </c>
      <c r="G164" s="0" t="n">
        <v>0.0698</v>
      </c>
      <c r="H164" s="0" t="n">
        <v>0.0094408399</v>
      </c>
      <c r="I164" s="4" t="n">
        <f aca="false">ROUND(D164*H164,2)</f>
        <v>643093.56</v>
      </c>
      <c r="J164" s="4" t="n">
        <f aca="false">ROUND(E164-I164,2)</f>
        <v>0</v>
      </c>
    </row>
    <row r="165" customFormat="false" ht="15" hidden="false" customHeight="false" outlineLevel="0" collapsed="false">
      <c r="A165" s="0" t="s">
        <v>144</v>
      </c>
      <c r="B165" s="0" t="s">
        <v>119</v>
      </c>
      <c r="C165" s="0" t="s">
        <v>127</v>
      </c>
      <c r="D165" s="0" t="n">
        <v>68118257.03</v>
      </c>
      <c r="E165" s="0" t="n">
        <v>643093.56</v>
      </c>
      <c r="F165" s="0" t="n">
        <v>0.0698</v>
      </c>
      <c r="G165" s="0" t="n">
        <v>0.0698</v>
      </c>
      <c r="H165" s="0" t="n">
        <v>0.0094408399</v>
      </c>
      <c r="I165" s="4" t="n">
        <f aca="false">ROUND(D165*H165,2)</f>
        <v>643093.56</v>
      </c>
      <c r="J165" s="4" t="n">
        <f aca="false">ROUND(E165-I165,2)</f>
        <v>0</v>
      </c>
    </row>
    <row r="166" customFormat="false" ht="15" hidden="false" customHeight="false" outlineLevel="0" collapsed="false">
      <c r="A166" s="0" t="s">
        <v>144</v>
      </c>
      <c r="B166" s="0" t="s">
        <v>119</v>
      </c>
      <c r="C166" s="0" t="s">
        <v>128</v>
      </c>
      <c r="D166" s="0" t="n">
        <v>68118257.03</v>
      </c>
      <c r="E166" s="0" t="n">
        <v>643093.56</v>
      </c>
      <c r="F166" s="0" t="n">
        <v>0.0698</v>
      </c>
      <c r="G166" s="0" t="n">
        <v>0.0698</v>
      </c>
      <c r="H166" s="0" t="n">
        <v>0.0094408399</v>
      </c>
      <c r="I166" s="4" t="n">
        <f aca="false">ROUND(D166*H166,2)</f>
        <v>643093.56</v>
      </c>
      <c r="J166" s="4" t="n">
        <f aca="false">ROUND(E166-I166,2)</f>
        <v>0</v>
      </c>
    </row>
    <row r="167" customFormat="false" ht="15" hidden="false" customHeight="false" outlineLevel="0" collapsed="false">
      <c r="A167" s="0" t="s">
        <v>144</v>
      </c>
      <c r="B167" s="0" t="s">
        <v>119</v>
      </c>
      <c r="C167" s="0" t="s">
        <v>129</v>
      </c>
      <c r="D167" s="0" t="n">
        <v>68118257.03</v>
      </c>
      <c r="E167" s="0" t="n">
        <v>643093.56</v>
      </c>
      <c r="F167" s="0" t="n">
        <v>0.0698</v>
      </c>
      <c r="G167" s="0" t="n">
        <v>0.0698</v>
      </c>
      <c r="H167" s="0" t="n">
        <v>0.0094408399</v>
      </c>
      <c r="I167" s="4" t="n">
        <f aca="false">ROUND(D167*H167,2)</f>
        <v>643093.56</v>
      </c>
      <c r="J167" s="4" t="n">
        <f aca="false">ROUND(E167-I167,2)</f>
        <v>0</v>
      </c>
    </row>
    <row r="168" customFormat="false" ht="15" hidden="false" customHeight="false" outlineLevel="0" collapsed="false">
      <c r="A168" s="0" t="s">
        <v>144</v>
      </c>
      <c r="B168" s="0" t="s">
        <v>119</v>
      </c>
      <c r="C168" s="0" t="s">
        <v>130</v>
      </c>
      <c r="D168" s="0" t="n">
        <v>68118257.03</v>
      </c>
      <c r="E168" s="0" t="n">
        <v>643093.56</v>
      </c>
      <c r="F168" s="0" t="n">
        <v>0.0698</v>
      </c>
      <c r="G168" s="0" t="n">
        <v>0.0698</v>
      </c>
      <c r="H168" s="0" t="n">
        <v>0.0094408399</v>
      </c>
      <c r="I168" s="4" t="n">
        <f aca="false">ROUND(D168*H168,2)</f>
        <v>643093.56</v>
      </c>
      <c r="J168" s="4" t="n">
        <f aca="false">ROUND(E168-I168,2)</f>
        <v>0</v>
      </c>
    </row>
    <row r="169" customFormat="false" ht="15" hidden="false" customHeight="false" outlineLevel="0" collapsed="false">
      <c r="A169" s="0" t="s">
        <v>144</v>
      </c>
      <c r="B169" s="0" t="s">
        <v>119</v>
      </c>
      <c r="C169" s="0" t="s">
        <v>131</v>
      </c>
      <c r="D169" s="0" t="n">
        <v>68118257.03</v>
      </c>
      <c r="E169" s="0" t="n">
        <v>643093.56</v>
      </c>
      <c r="F169" s="0" t="n">
        <v>0.0698</v>
      </c>
      <c r="G169" s="0" t="n">
        <v>0.0698</v>
      </c>
      <c r="H169" s="0" t="n">
        <v>0.0094408399</v>
      </c>
      <c r="I169" s="4" t="n">
        <f aca="false">ROUND(D169*H169,2)</f>
        <v>643093.56</v>
      </c>
      <c r="J169" s="4" t="n">
        <f aca="false">ROUND(E169-I169,2)</f>
        <v>0</v>
      </c>
    </row>
    <row r="170" customFormat="false" ht="15" hidden="false" customHeight="false" outlineLevel="0" collapsed="false">
      <c r="A170" s="0" t="s">
        <v>145</v>
      </c>
      <c r="B170" s="0" t="s">
        <v>119</v>
      </c>
      <c r="C170" s="0" t="s">
        <v>120</v>
      </c>
      <c r="D170" s="0" t="n">
        <v>54314509.95</v>
      </c>
      <c r="E170" s="0" t="n">
        <v>577543.38</v>
      </c>
      <c r="F170" s="0" t="n">
        <v>0.0846</v>
      </c>
      <c r="G170" s="0" t="n">
        <v>0.0846</v>
      </c>
      <c r="H170" s="0" t="n">
        <v>0.0106333166</v>
      </c>
      <c r="I170" s="4" t="n">
        <f aca="false">ROUND(D170*H170,2)</f>
        <v>577543.38</v>
      </c>
      <c r="J170" s="4" t="n">
        <f aca="false">ROUND(E170-I170,2)</f>
        <v>0</v>
      </c>
    </row>
    <row r="171" customFormat="false" ht="15" hidden="false" customHeight="false" outlineLevel="0" collapsed="false">
      <c r="A171" s="0" t="s">
        <v>145</v>
      </c>
      <c r="B171" s="0" t="s">
        <v>119</v>
      </c>
      <c r="C171" s="0" t="s">
        <v>121</v>
      </c>
      <c r="D171" s="0" t="n">
        <v>61655864.28</v>
      </c>
      <c r="E171" s="0" t="n">
        <v>655606.32</v>
      </c>
      <c r="F171" s="0" t="n">
        <v>0.0846</v>
      </c>
      <c r="G171" s="0" t="n">
        <v>0.0846</v>
      </c>
      <c r="H171" s="0" t="n">
        <v>0.0106333166</v>
      </c>
      <c r="I171" s="4" t="n">
        <f aca="false">ROUND(D171*H171,2)</f>
        <v>655606.33</v>
      </c>
      <c r="J171" s="4" t="n">
        <f aca="false">ROUND(E171-I171,2)</f>
        <v>-0.01</v>
      </c>
    </row>
    <row r="172" customFormat="false" ht="15" hidden="false" customHeight="false" outlineLevel="0" collapsed="false">
      <c r="A172" s="0" t="s">
        <v>145</v>
      </c>
      <c r="B172" s="0" t="s">
        <v>119</v>
      </c>
      <c r="C172" s="0" t="s">
        <v>122</v>
      </c>
      <c r="D172" s="0" t="n">
        <v>68957694.72</v>
      </c>
      <c r="E172" s="0" t="n">
        <v>733249</v>
      </c>
      <c r="F172" s="0" t="n">
        <v>0.0846</v>
      </c>
      <c r="G172" s="0" t="n">
        <v>0.0846</v>
      </c>
      <c r="H172" s="0" t="n">
        <v>0.0106333166</v>
      </c>
      <c r="I172" s="4" t="n">
        <f aca="false">ROUND(D172*H172,2)</f>
        <v>733249</v>
      </c>
      <c r="J172" s="4" t="n">
        <f aca="false">ROUND(E172-I172,2)</f>
        <v>0</v>
      </c>
    </row>
    <row r="173" customFormat="false" ht="15" hidden="false" customHeight="false" outlineLevel="0" collapsed="false">
      <c r="A173" s="0" t="s">
        <v>145</v>
      </c>
      <c r="B173" s="0" t="s">
        <v>119</v>
      </c>
      <c r="C173" s="0" t="s">
        <v>123</v>
      </c>
      <c r="D173" s="0" t="n">
        <v>77469528.53</v>
      </c>
      <c r="E173" s="0" t="n">
        <v>823758.02</v>
      </c>
      <c r="F173" s="0" t="n">
        <v>0.0846</v>
      </c>
      <c r="G173" s="0" t="n">
        <v>0.0846</v>
      </c>
      <c r="H173" s="0" t="n">
        <v>0.0106333166</v>
      </c>
      <c r="I173" s="4" t="n">
        <f aca="false">ROUND(D173*H173,2)</f>
        <v>823758.02</v>
      </c>
      <c r="J173" s="4" t="n">
        <f aca="false">ROUND(E173-I173,2)</f>
        <v>0</v>
      </c>
    </row>
    <row r="174" customFormat="false" ht="15" hidden="false" customHeight="false" outlineLevel="0" collapsed="false">
      <c r="A174" s="0" t="s">
        <v>145</v>
      </c>
      <c r="B174" s="0" t="s">
        <v>119</v>
      </c>
      <c r="C174" s="0" t="s">
        <v>124</v>
      </c>
      <c r="D174" s="0" t="n">
        <v>86791348.5</v>
      </c>
      <c r="E174" s="0" t="n">
        <v>922879.88</v>
      </c>
      <c r="F174" s="0" t="n">
        <v>0.0846</v>
      </c>
      <c r="G174" s="0" t="n">
        <v>0.0846</v>
      </c>
      <c r="H174" s="0" t="n">
        <v>0.0106333166</v>
      </c>
      <c r="I174" s="4" t="n">
        <f aca="false">ROUND(D174*H174,2)</f>
        <v>922879.89</v>
      </c>
      <c r="J174" s="4" t="n">
        <f aca="false">ROUND(E174-I174,2)</f>
        <v>-0.01</v>
      </c>
    </row>
    <row r="175" customFormat="false" ht="15" hidden="false" customHeight="false" outlineLevel="0" collapsed="false">
      <c r="A175" s="0" t="s">
        <v>145</v>
      </c>
      <c r="B175" s="0" t="s">
        <v>119</v>
      </c>
      <c r="C175" s="0" t="s">
        <v>125</v>
      </c>
      <c r="D175" s="0" t="n">
        <v>96637580.07</v>
      </c>
      <c r="E175" s="0" t="n">
        <v>1027577.98</v>
      </c>
      <c r="F175" s="0" t="n">
        <v>0.0846</v>
      </c>
      <c r="G175" s="0" t="n">
        <v>0.0846</v>
      </c>
      <c r="H175" s="0" t="n">
        <v>0.0106333166</v>
      </c>
      <c r="I175" s="4" t="n">
        <f aca="false">ROUND(D175*H175,2)</f>
        <v>1027577.98</v>
      </c>
      <c r="J175" s="4" t="n">
        <f aca="false">ROUND(E175-I175,2)</f>
        <v>0</v>
      </c>
    </row>
    <row r="176" customFormat="false" ht="15" hidden="false" customHeight="false" outlineLevel="0" collapsed="false">
      <c r="A176" s="0" t="s">
        <v>145</v>
      </c>
      <c r="B176" s="0" t="s">
        <v>119</v>
      </c>
      <c r="C176" s="0" t="s">
        <v>126</v>
      </c>
      <c r="D176" s="0" t="n">
        <v>107118919.76</v>
      </c>
      <c r="E176" s="0" t="n">
        <v>1139029.39</v>
      </c>
      <c r="F176" s="0" t="n">
        <v>0.0846</v>
      </c>
      <c r="G176" s="0" t="n">
        <v>0.0846</v>
      </c>
      <c r="H176" s="0" t="n">
        <v>0.0106333166</v>
      </c>
      <c r="I176" s="4" t="n">
        <f aca="false">ROUND(D176*H176,2)</f>
        <v>1139029.39</v>
      </c>
      <c r="J176" s="4" t="n">
        <f aca="false">ROUND(E176-I176,2)</f>
        <v>0</v>
      </c>
    </row>
    <row r="177" customFormat="false" ht="15" hidden="false" customHeight="false" outlineLevel="0" collapsed="false">
      <c r="A177" s="0" t="s">
        <v>145</v>
      </c>
      <c r="B177" s="0" t="s">
        <v>119</v>
      </c>
      <c r="C177" s="0" t="s">
        <v>127</v>
      </c>
      <c r="D177" s="0" t="n">
        <v>116898186.08</v>
      </c>
      <c r="E177" s="0" t="n">
        <v>1243015.42</v>
      </c>
      <c r="F177" s="0" t="n">
        <v>0.0846</v>
      </c>
      <c r="G177" s="0" t="n">
        <v>0.0846</v>
      </c>
      <c r="H177" s="0" t="n">
        <v>0.0106333166</v>
      </c>
      <c r="I177" s="4" t="n">
        <f aca="false">ROUND(D177*H177,2)</f>
        <v>1243015.42</v>
      </c>
      <c r="J177" s="4" t="n">
        <f aca="false">ROUND(E177-I177,2)</f>
        <v>0</v>
      </c>
    </row>
    <row r="178" customFormat="false" ht="15" hidden="false" customHeight="false" outlineLevel="0" collapsed="false">
      <c r="A178" s="0" t="s">
        <v>145</v>
      </c>
      <c r="B178" s="0" t="s">
        <v>119</v>
      </c>
      <c r="C178" s="0" t="s">
        <v>128</v>
      </c>
      <c r="D178" s="0" t="n">
        <v>126479950.95</v>
      </c>
      <c r="E178" s="0" t="n">
        <v>1344901.36</v>
      </c>
      <c r="F178" s="0" t="n">
        <v>0.0846</v>
      </c>
      <c r="G178" s="0" t="n">
        <v>0.0846</v>
      </c>
      <c r="H178" s="0" t="n">
        <v>0.0106333166</v>
      </c>
      <c r="I178" s="4" t="n">
        <f aca="false">ROUND(D178*H178,2)</f>
        <v>1344901.36</v>
      </c>
      <c r="J178" s="4" t="n">
        <f aca="false">ROUND(E178-I178,2)</f>
        <v>0</v>
      </c>
    </row>
    <row r="179" customFormat="false" ht="15" hidden="false" customHeight="false" outlineLevel="0" collapsed="false">
      <c r="A179" s="0" t="s">
        <v>145</v>
      </c>
      <c r="B179" s="0" t="s">
        <v>119</v>
      </c>
      <c r="C179" s="0" t="s">
        <v>129</v>
      </c>
      <c r="D179" s="0" t="n">
        <v>136086590.98</v>
      </c>
      <c r="E179" s="0" t="n">
        <v>1447051.8</v>
      </c>
      <c r="F179" s="0" t="n">
        <v>0.0846</v>
      </c>
      <c r="G179" s="0" t="n">
        <v>0.0846</v>
      </c>
      <c r="H179" s="0" t="n">
        <v>0.0106333166</v>
      </c>
      <c r="I179" s="4" t="n">
        <f aca="false">ROUND(D179*H179,2)</f>
        <v>1447051.81</v>
      </c>
      <c r="J179" s="4" t="n">
        <f aca="false">ROUND(E179-I179,2)</f>
        <v>-0.01</v>
      </c>
    </row>
    <row r="180" customFormat="false" ht="15" hidden="false" customHeight="false" outlineLevel="0" collapsed="false">
      <c r="A180" s="0" t="s">
        <v>145</v>
      </c>
      <c r="B180" s="0" t="s">
        <v>119</v>
      </c>
      <c r="C180" s="0" t="s">
        <v>130</v>
      </c>
      <c r="D180" s="0" t="n">
        <v>145823314.16</v>
      </c>
      <c r="E180" s="0" t="n">
        <v>1550585.46</v>
      </c>
      <c r="F180" s="0" t="n">
        <v>0.0846</v>
      </c>
      <c r="G180" s="0" t="n">
        <v>0.0846</v>
      </c>
      <c r="H180" s="0" t="n">
        <v>0.0106333166</v>
      </c>
      <c r="I180" s="4" t="n">
        <f aca="false">ROUND(D180*H180,2)</f>
        <v>1550585.47</v>
      </c>
      <c r="J180" s="4" t="n">
        <f aca="false">ROUND(E180-I180,2)</f>
        <v>-0.01</v>
      </c>
    </row>
    <row r="181" customFormat="false" ht="15" hidden="false" customHeight="false" outlineLevel="0" collapsed="false">
      <c r="A181" s="0" t="s">
        <v>145</v>
      </c>
      <c r="B181" s="0" t="s">
        <v>119</v>
      </c>
      <c r="C181" s="0" t="s">
        <v>131</v>
      </c>
      <c r="D181" s="0" t="n">
        <v>155792924.6</v>
      </c>
      <c r="E181" s="0" t="n">
        <v>1656595.49</v>
      </c>
      <c r="F181" s="0" t="n">
        <v>0.0846</v>
      </c>
      <c r="G181" s="0" t="n">
        <v>0.0846</v>
      </c>
      <c r="H181" s="0" t="n">
        <v>0.0106333166</v>
      </c>
      <c r="I181" s="4" t="n">
        <f aca="false">ROUND(D181*H181,2)</f>
        <v>1656595.49</v>
      </c>
      <c r="J181" s="4" t="n">
        <f aca="false">ROUND(E181-I181,2)</f>
        <v>0</v>
      </c>
    </row>
    <row r="182" customFormat="false" ht="15" hidden="false" customHeight="false" outlineLevel="0" collapsed="false">
      <c r="A182" s="0" t="s">
        <v>146</v>
      </c>
      <c r="B182" s="0" t="s">
        <v>119</v>
      </c>
      <c r="C182" s="0" t="s">
        <v>120</v>
      </c>
      <c r="D182" s="0" t="n">
        <v>663942599.92</v>
      </c>
      <c r="E182" s="0" t="n">
        <v>6106465.76</v>
      </c>
      <c r="F182" s="0" t="n">
        <v>0.0668</v>
      </c>
      <c r="G182" s="0" t="n">
        <v>0.0668</v>
      </c>
      <c r="H182" s="0" t="n">
        <v>0.0091972796</v>
      </c>
      <c r="I182" s="4" t="n">
        <f aca="false">ROUND(D182*H182,2)</f>
        <v>6106465.73</v>
      </c>
      <c r="J182" s="4" t="n">
        <f aca="false">ROUND(E182-I182,2)</f>
        <v>0.03</v>
      </c>
    </row>
    <row r="183" customFormat="false" ht="15" hidden="false" customHeight="false" outlineLevel="0" collapsed="false">
      <c r="A183" s="0" t="s">
        <v>146</v>
      </c>
      <c r="B183" s="0" t="s">
        <v>119</v>
      </c>
      <c r="C183" s="0" t="s">
        <v>121</v>
      </c>
      <c r="D183" s="0" t="n">
        <v>664296343.23</v>
      </c>
      <c r="E183" s="0" t="n">
        <v>6109719.23</v>
      </c>
      <c r="F183" s="0" t="n">
        <v>0.0668</v>
      </c>
      <c r="G183" s="0" t="n">
        <v>0.0668</v>
      </c>
      <c r="H183" s="0" t="n">
        <v>0.0091972796</v>
      </c>
      <c r="I183" s="4" t="n">
        <f aca="false">ROUND(D183*H183,2)</f>
        <v>6109719.21</v>
      </c>
      <c r="J183" s="4" t="n">
        <f aca="false">ROUND(E183-I183,2)</f>
        <v>0.02</v>
      </c>
    </row>
    <row r="184" customFormat="false" ht="15" hidden="false" customHeight="false" outlineLevel="0" collapsed="false">
      <c r="A184" s="0" t="s">
        <v>146</v>
      </c>
      <c r="B184" s="0" t="s">
        <v>119</v>
      </c>
      <c r="C184" s="0" t="s">
        <v>122</v>
      </c>
      <c r="D184" s="0" t="n">
        <v>664725667.74</v>
      </c>
      <c r="E184" s="0" t="n">
        <v>6113667.85</v>
      </c>
      <c r="F184" s="0" t="n">
        <v>0.0668</v>
      </c>
      <c r="G184" s="0" t="n">
        <v>0.0668</v>
      </c>
      <c r="H184" s="0" t="n">
        <v>0.0091972796</v>
      </c>
      <c r="I184" s="4" t="n">
        <f aca="false">ROUND(D184*H184,2)</f>
        <v>6113667.82</v>
      </c>
      <c r="J184" s="4" t="n">
        <f aca="false">ROUND(E184-I184,2)</f>
        <v>0.03</v>
      </c>
    </row>
    <row r="185" customFormat="false" ht="15" hidden="false" customHeight="false" outlineLevel="0" collapsed="false">
      <c r="A185" s="0" t="s">
        <v>146</v>
      </c>
      <c r="B185" s="0" t="s">
        <v>119</v>
      </c>
      <c r="C185" s="0" t="s">
        <v>123</v>
      </c>
      <c r="D185" s="0" t="n">
        <v>665133185.63</v>
      </c>
      <c r="E185" s="0" t="n">
        <v>6117415.91</v>
      </c>
      <c r="F185" s="0" t="n">
        <v>0.0668</v>
      </c>
      <c r="G185" s="0" t="n">
        <v>0.0668</v>
      </c>
      <c r="H185" s="0" t="n">
        <v>0.0091972796</v>
      </c>
      <c r="I185" s="4" t="n">
        <f aca="false">ROUND(D185*H185,2)</f>
        <v>6117415.88</v>
      </c>
      <c r="J185" s="4" t="n">
        <f aca="false">ROUND(E185-I185,2)</f>
        <v>0.03</v>
      </c>
    </row>
    <row r="186" customFormat="false" ht="15" hidden="false" customHeight="false" outlineLevel="0" collapsed="false">
      <c r="A186" s="0" t="s">
        <v>146</v>
      </c>
      <c r="B186" s="0" t="s">
        <v>119</v>
      </c>
      <c r="C186" s="0" t="s">
        <v>124</v>
      </c>
      <c r="D186" s="0" t="n">
        <v>666037697.98</v>
      </c>
      <c r="E186" s="0" t="n">
        <v>6125734.96</v>
      </c>
      <c r="F186" s="0" t="n">
        <v>0.0668</v>
      </c>
      <c r="G186" s="0" t="n">
        <v>0.0668</v>
      </c>
      <c r="H186" s="0" t="n">
        <v>0.0091972796</v>
      </c>
      <c r="I186" s="4" t="n">
        <f aca="false">ROUND(D186*H186,2)</f>
        <v>6125734.93</v>
      </c>
      <c r="J186" s="4" t="n">
        <f aca="false">ROUND(E186-I186,2)</f>
        <v>0.03</v>
      </c>
    </row>
    <row r="187" customFormat="false" ht="15" hidden="false" customHeight="false" outlineLevel="0" collapsed="false">
      <c r="A187" s="0" t="s">
        <v>146</v>
      </c>
      <c r="B187" s="0" t="s">
        <v>119</v>
      </c>
      <c r="C187" s="0" t="s">
        <v>125</v>
      </c>
      <c r="D187" s="0" t="n">
        <v>667098198.97</v>
      </c>
      <c r="E187" s="0" t="n">
        <v>6135488.68</v>
      </c>
      <c r="F187" s="0" t="n">
        <v>0.0668</v>
      </c>
      <c r="G187" s="0" t="n">
        <v>0.0668</v>
      </c>
      <c r="H187" s="0" t="n">
        <v>0.0091972796</v>
      </c>
      <c r="I187" s="4" t="n">
        <f aca="false">ROUND(D187*H187,2)</f>
        <v>6135488.66</v>
      </c>
      <c r="J187" s="4" t="n">
        <f aca="false">ROUND(E187-I187,2)</f>
        <v>0.02</v>
      </c>
    </row>
    <row r="188" customFormat="false" ht="15" hidden="false" customHeight="false" outlineLevel="0" collapsed="false">
      <c r="A188" s="0" t="s">
        <v>146</v>
      </c>
      <c r="B188" s="0" t="s">
        <v>119</v>
      </c>
      <c r="C188" s="0" t="s">
        <v>126</v>
      </c>
      <c r="D188" s="0" t="n">
        <v>667950339.02</v>
      </c>
      <c r="E188" s="0" t="n">
        <v>6143326.05</v>
      </c>
      <c r="F188" s="0" t="n">
        <v>0.0668</v>
      </c>
      <c r="G188" s="0" t="n">
        <v>0.0668</v>
      </c>
      <c r="H188" s="0" t="n">
        <v>0.0091972796</v>
      </c>
      <c r="I188" s="4" t="n">
        <f aca="false">ROUND(D188*H188,2)</f>
        <v>6143326.03</v>
      </c>
      <c r="J188" s="4" t="n">
        <f aca="false">ROUND(E188-I188,2)</f>
        <v>0.02</v>
      </c>
    </row>
    <row r="189" customFormat="false" ht="15" hidden="false" customHeight="false" outlineLevel="0" collapsed="false">
      <c r="A189" s="0" t="s">
        <v>146</v>
      </c>
      <c r="B189" s="0" t="s">
        <v>119</v>
      </c>
      <c r="C189" s="0" t="s">
        <v>127</v>
      </c>
      <c r="D189" s="0" t="n">
        <v>668709502.42</v>
      </c>
      <c r="E189" s="0" t="n">
        <v>6150308.29</v>
      </c>
      <c r="F189" s="0" t="n">
        <v>0.0668</v>
      </c>
      <c r="G189" s="0" t="n">
        <v>0.0668</v>
      </c>
      <c r="H189" s="0" t="n">
        <v>0.0091972796</v>
      </c>
      <c r="I189" s="4" t="n">
        <f aca="false">ROUND(D189*H189,2)</f>
        <v>6150308.26</v>
      </c>
      <c r="J189" s="4" t="n">
        <f aca="false">ROUND(E189-I189,2)</f>
        <v>0.03</v>
      </c>
    </row>
    <row r="190" customFormat="false" ht="15" hidden="false" customHeight="false" outlineLevel="0" collapsed="false">
      <c r="A190" s="0" t="s">
        <v>146</v>
      </c>
      <c r="B190" s="0" t="s">
        <v>119</v>
      </c>
      <c r="C190" s="0" t="s">
        <v>128</v>
      </c>
      <c r="D190" s="0" t="n">
        <v>669474048.98</v>
      </c>
      <c r="E190" s="0" t="n">
        <v>6157340.04</v>
      </c>
      <c r="F190" s="0" t="n">
        <v>0.0668</v>
      </c>
      <c r="G190" s="0" t="n">
        <v>0.0668</v>
      </c>
      <c r="H190" s="0" t="n">
        <v>0.0091972796</v>
      </c>
      <c r="I190" s="4" t="n">
        <f aca="false">ROUND(D190*H190,2)</f>
        <v>6157340.01</v>
      </c>
      <c r="J190" s="4" t="n">
        <f aca="false">ROUND(E190-I190,2)</f>
        <v>0.03</v>
      </c>
    </row>
    <row r="191" customFormat="false" ht="15" hidden="false" customHeight="false" outlineLevel="0" collapsed="false">
      <c r="A191" s="0" t="s">
        <v>146</v>
      </c>
      <c r="B191" s="0" t="s">
        <v>119</v>
      </c>
      <c r="C191" s="0" t="s">
        <v>129</v>
      </c>
      <c r="D191" s="0" t="n">
        <v>670171202.66</v>
      </c>
      <c r="E191" s="0" t="n">
        <v>6163751.96</v>
      </c>
      <c r="F191" s="0" t="n">
        <v>0.0668</v>
      </c>
      <c r="G191" s="0" t="n">
        <v>0.0668</v>
      </c>
      <c r="H191" s="0" t="n">
        <v>0.0091972796</v>
      </c>
      <c r="I191" s="4" t="n">
        <f aca="false">ROUND(D191*H191,2)</f>
        <v>6163751.93</v>
      </c>
      <c r="J191" s="4" t="n">
        <f aca="false">ROUND(E191-I191,2)</f>
        <v>0.03</v>
      </c>
    </row>
    <row r="192" customFormat="false" ht="15" hidden="false" customHeight="false" outlineLevel="0" collapsed="false">
      <c r="A192" s="0" t="s">
        <v>146</v>
      </c>
      <c r="B192" s="0" t="s">
        <v>119</v>
      </c>
      <c r="C192" s="0" t="s">
        <v>130</v>
      </c>
      <c r="D192" s="0" t="n">
        <v>670819801.82</v>
      </c>
      <c r="E192" s="0" t="n">
        <v>6169717.31</v>
      </c>
      <c r="F192" s="0" t="n">
        <v>0.0668</v>
      </c>
      <c r="G192" s="0" t="n">
        <v>0.0668</v>
      </c>
      <c r="H192" s="0" t="n">
        <v>0.0091972796</v>
      </c>
      <c r="I192" s="4" t="n">
        <f aca="false">ROUND(D192*H192,2)</f>
        <v>6169717.28</v>
      </c>
      <c r="J192" s="4" t="n">
        <f aca="false">ROUND(E192-I192,2)</f>
        <v>0.03</v>
      </c>
    </row>
    <row r="193" customFormat="false" ht="15" hidden="false" customHeight="false" outlineLevel="0" collapsed="false">
      <c r="A193" s="0" t="s">
        <v>146</v>
      </c>
      <c r="B193" s="0" t="s">
        <v>119</v>
      </c>
      <c r="C193" s="0" t="s">
        <v>131</v>
      </c>
      <c r="D193" s="0" t="n">
        <v>671541722.54</v>
      </c>
      <c r="E193" s="0" t="n">
        <v>6176357.01</v>
      </c>
      <c r="F193" s="0" t="n">
        <v>0.0668</v>
      </c>
      <c r="G193" s="0" t="n">
        <v>0.0668</v>
      </c>
      <c r="H193" s="0" t="n">
        <v>0.0091972796</v>
      </c>
      <c r="I193" s="4" t="n">
        <f aca="false">ROUND(D193*H193,2)</f>
        <v>6176356.99</v>
      </c>
      <c r="J193" s="4" t="n">
        <f aca="false">ROUND(E193-I193,2)</f>
        <v>0.02</v>
      </c>
    </row>
    <row r="194" customFormat="false" ht="15" hidden="false" customHeight="false" outlineLevel="0" collapsed="false">
      <c r="A194" s="0" t="s">
        <v>147</v>
      </c>
      <c r="B194" s="0" t="s">
        <v>119</v>
      </c>
      <c r="C194" s="0" t="s">
        <v>120</v>
      </c>
      <c r="D194" s="0" t="n">
        <v>176780114.27</v>
      </c>
      <c r="E194" s="0" t="n">
        <v>1960245.06</v>
      </c>
      <c r="F194" s="0" t="n">
        <v>0.0903</v>
      </c>
      <c r="G194" s="0" t="n">
        <v>0.0903</v>
      </c>
      <c r="H194" s="0" t="n">
        <v>0.0110886061</v>
      </c>
      <c r="I194" s="4" t="n">
        <f aca="false">ROUND(D194*H194,2)</f>
        <v>1960245.05</v>
      </c>
      <c r="J194" s="4" t="n">
        <f aca="false">ROUND(E194-I194,2)</f>
        <v>0.01</v>
      </c>
    </row>
    <row r="195" customFormat="false" ht="15" hidden="false" customHeight="false" outlineLevel="0" collapsed="false">
      <c r="A195" s="0" t="s">
        <v>147</v>
      </c>
      <c r="B195" s="0" t="s">
        <v>119</v>
      </c>
      <c r="C195" s="0" t="s">
        <v>121</v>
      </c>
      <c r="D195" s="0" t="n">
        <v>176780114.27</v>
      </c>
      <c r="E195" s="0" t="n">
        <v>1960245.06</v>
      </c>
      <c r="F195" s="0" t="n">
        <v>0.0903</v>
      </c>
      <c r="G195" s="0" t="n">
        <v>0.0903</v>
      </c>
      <c r="H195" s="0" t="n">
        <v>0.0110886061</v>
      </c>
      <c r="I195" s="4" t="n">
        <f aca="false">ROUND(D195*H195,2)</f>
        <v>1960245.05</v>
      </c>
      <c r="J195" s="4" t="n">
        <f aca="false">ROUND(E195-I195,2)</f>
        <v>0.01</v>
      </c>
    </row>
    <row r="196" customFormat="false" ht="15" hidden="false" customHeight="false" outlineLevel="0" collapsed="false">
      <c r="A196" s="0" t="s">
        <v>147</v>
      </c>
      <c r="B196" s="0" t="s">
        <v>119</v>
      </c>
      <c r="C196" s="0" t="s">
        <v>122</v>
      </c>
      <c r="D196" s="0" t="n">
        <v>176780114.27</v>
      </c>
      <c r="E196" s="0" t="n">
        <v>1960245.06</v>
      </c>
      <c r="F196" s="0" t="n">
        <v>0.0903</v>
      </c>
      <c r="G196" s="0" t="n">
        <v>0.0903</v>
      </c>
      <c r="H196" s="0" t="n">
        <v>0.0110886061</v>
      </c>
      <c r="I196" s="4" t="n">
        <f aca="false">ROUND(D196*H196,2)</f>
        <v>1960245.05</v>
      </c>
      <c r="J196" s="4" t="n">
        <f aca="false">ROUND(E196-I196,2)</f>
        <v>0.01</v>
      </c>
    </row>
    <row r="197" customFormat="false" ht="15" hidden="false" customHeight="false" outlineLevel="0" collapsed="false">
      <c r="A197" s="0" t="s">
        <v>147</v>
      </c>
      <c r="B197" s="0" t="s">
        <v>119</v>
      </c>
      <c r="C197" s="0" t="s">
        <v>123</v>
      </c>
      <c r="D197" s="0" t="n">
        <v>176780114.27</v>
      </c>
      <c r="E197" s="0" t="n">
        <v>1960245.06</v>
      </c>
      <c r="F197" s="0" t="n">
        <v>0.0903</v>
      </c>
      <c r="G197" s="0" t="n">
        <v>0.0903</v>
      </c>
      <c r="H197" s="0" t="n">
        <v>0.0110886061</v>
      </c>
      <c r="I197" s="4" t="n">
        <f aca="false">ROUND(D197*H197,2)</f>
        <v>1960245.05</v>
      </c>
      <c r="J197" s="4" t="n">
        <f aca="false">ROUND(E197-I197,2)</f>
        <v>0.01</v>
      </c>
    </row>
    <row r="198" customFormat="false" ht="15" hidden="false" customHeight="false" outlineLevel="0" collapsed="false">
      <c r="A198" s="0" t="s">
        <v>147</v>
      </c>
      <c r="B198" s="0" t="s">
        <v>119</v>
      </c>
      <c r="C198" s="0" t="s">
        <v>124</v>
      </c>
      <c r="D198" s="0" t="n">
        <v>176780114.27</v>
      </c>
      <c r="E198" s="0" t="n">
        <v>1960245.06</v>
      </c>
      <c r="F198" s="0" t="n">
        <v>0.0903</v>
      </c>
      <c r="G198" s="0" t="n">
        <v>0.0903</v>
      </c>
      <c r="H198" s="0" t="n">
        <v>0.0110886061</v>
      </c>
      <c r="I198" s="4" t="n">
        <f aca="false">ROUND(D198*H198,2)</f>
        <v>1960245.05</v>
      </c>
      <c r="J198" s="4" t="n">
        <f aca="false">ROUND(E198-I198,2)</f>
        <v>0.01</v>
      </c>
    </row>
    <row r="199" customFormat="false" ht="15" hidden="false" customHeight="false" outlineLevel="0" collapsed="false">
      <c r="A199" s="0" t="s">
        <v>147</v>
      </c>
      <c r="B199" s="0" t="s">
        <v>119</v>
      </c>
      <c r="C199" s="0" t="s">
        <v>125</v>
      </c>
      <c r="D199" s="0" t="n">
        <v>176780114.27</v>
      </c>
      <c r="E199" s="0" t="n">
        <v>1960245.06</v>
      </c>
      <c r="F199" s="0" t="n">
        <v>0.0903</v>
      </c>
      <c r="G199" s="0" t="n">
        <v>0.0903</v>
      </c>
      <c r="H199" s="0" t="n">
        <v>0.0110886061</v>
      </c>
      <c r="I199" s="4" t="n">
        <f aca="false">ROUND(D199*H199,2)</f>
        <v>1960245.05</v>
      </c>
      <c r="J199" s="4" t="n">
        <f aca="false">ROUND(E199-I199,2)</f>
        <v>0.01</v>
      </c>
    </row>
    <row r="200" customFormat="false" ht="15" hidden="false" customHeight="false" outlineLevel="0" collapsed="false">
      <c r="A200" s="0" t="s">
        <v>147</v>
      </c>
      <c r="B200" s="0" t="s">
        <v>119</v>
      </c>
      <c r="C200" s="0" t="s">
        <v>126</v>
      </c>
      <c r="D200" s="0" t="n">
        <v>176780114.27</v>
      </c>
      <c r="E200" s="0" t="n">
        <v>1960245.06</v>
      </c>
      <c r="F200" s="0" t="n">
        <v>0.0903</v>
      </c>
      <c r="G200" s="0" t="n">
        <v>0.0903</v>
      </c>
      <c r="H200" s="0" t="n">
        <v>0.0110886061</v>
      </c>
      <c r="I200" s="4" t="n">
        <f aca="false">ROUND(D200*H200,2)</f>
        <v>1960245.05</v>
      </c>
      <c r="J200" s="4" t="n">
        <f aca="false">ROUND(E200-I200,2)</f>
        <v>0.01</v>
      </c>
    </row>
    <row r="201" customFormat="false" ht="15" hidden="false" customHeight="false" outlineLevel="0" collapsed="false">
      <c r="A201" s="0" t="s">
        <v>147</v>
      </c>
      <c r="B201" s="0" t="s">
        <v>119</v>
      </c>
      <c r="C201" s="0" t="s">
        <v>127</v>
      </c>
      <c r="D201" s="0" t="n">
        <v>176780114.27</v>
      </c>
      <c r="E201" s="0" t="n">
        <v>1960245.06</v>
      </c>
      <c r="F201" s="0" t="n">
        <v>0.0903</v>
      </c>
      <c r="G201" s="0" t="n">
        <v>0.0903</v>
      </c>
      <c r="H201" s="0" t="n">
        <v>0.0110886061</v>
      </c>
      <c r="I201" s="4" t="n">
        <f aca="false">ROUND(D201*H201,2)</f>
        <v>1960245.05</v>
      </c>
      <c r="J201" s="4" t="n">
        <f aca="false">ROUND(E201-I201,2)</f>
        <v>0.01</v>
      </c>
    </row>
    <row r="202" customFormat="false" ht="15" hidden="false" customHeight="false" outlineLevel="0" collapsed="false">
      <c r="A202" s="0" t="s">
        <v>147</v>
      </c>
      <c r="B202" s="0" t="s">
        <v>119</v>
      </c>
      <c r="C202" s="0" t="s">
        <v>128</v>
      </c>
      <c r="D202" s="0" t="n">
        <v>176780114.27</v>
      </c>
      <c r="E202" s="0" t="n">
        <v>1960245.06</v>
      </c>
      <c r="F202" s="0" t="n">
        <v>0.0903</v>
      </c>
      <c r="G202" s="0" t="n">
        <v>0.0903</v>
      </c>
      <c r="H202" s="0" t="n">
        <v>0.0110886061</v>
      </c>
      <c r="I202" s="4" t="n">
        <f aca="false">ROUND(D202*H202,2)</f>
        <v>1960245.05</v>
      </c>
      <c r="J202" s="4" t="n">
        <f aca="false">ROUND(E202-I202,2)</f>
        <v>0.01</v>
      </c>
    </row>
    <row r="203" customFormat="false" ht="15" hidden="false" customHeight="false" outlineLevel="0" collapsed="false">
      <c r="A203" s="0" t="s">
        <v>147</v>
      </c>
      <c r="B203" s="0" t="s">
        <v>119</v>
      </c>
      <c r="C203" s="0" t="s">
        <v>129</v>
      </c>
      <c r="D203" s="0" t="n">
        <v>176780114.27</v>
      </c>
      <c r="E203" s="0" t="n">
        <v>1960245.06</v>
      </c>
      <c r="F203" s="0" t="n">
        <v>0.0903</v>
      </c>
      <c r="G203" s="0" t="n">
        <v>0.0903</v>
      </c>
      <c r="H203" s="0" t="n">
        <v>0.0110886061</v>
      </c>
      <c r="I203" s="4" t="n">
        <f aca="false">ROUND(D203*H203,2)</f>
        <v>1960245.05</v>
      </c>
      <c r="J203" s="4" t="n">
        <f aca="false">ROUND(E203-I203,2)</f>
        <v>0.01</v>
      </c>
    </row>
    <row r="204" customFormat="false" ht="15" hidden="false" customHeight="false" outlineLevel="0" collapsed="false">
      <c r="A204" s="0" t="s">
        <v>147</v>
      </c>
      <c r="B204" s="0" t="s">
        <v>119</v>
      </c>
      <c r="C204" s="0" t="s">
        <v>130</v>
      </c>
      <c r="D204" s="0" t="n">
        <v>176780114.27</v>
      </c>
      <c r="E204" s="0" t="n">
        <v>1960245.06</v>
      </c>
      <c r="F204" s="0" t="n">
        <v>0.0903</v>
      </c>
      <c r="G204" s="0" t="n">
        <v>0.0903</v>
      </c>
      <c r="H204" s="0" t="n">
        <v>0.0110886061</v>
      </c>
      <c r="I204" s="4" t="n">
        <f aca="false">ROUND(D204*H204,2)</f>
        <v>1960245.05</v>
      </c>
      <c r="J204" s="4" t="n">
        <f aca="false">ROUND(E204-I204,2)</f>
        <v>0.01</v>
      </c>
    </row>
    <row r="205" customFormat="false" ht="15" hidden="false" customHeight="false" outlineLevel="0" collapsed="false">
      <c r="A205" s="0" t="s">
        <v>147</v>
      </c>
      <c r="B205" s="0" t="s">
        <v>119</v>
      </c>
      <c r="C205" s="0" t="s">
        <v>131</v>
      </c>
      <c r="D205" s="0" t="n">
        <v>176780114.27</v>
      </c>
      <c r="E205" s="0" t="n">
        <v>1960245.06</v>
      </c>
      <c r="F205" s="0" t="n">
        <v>0.0903</v>
      </c>
      <c r="G205" s="0" t="n">
        <v>0.0903</v>
      </c>
      <c r="H205" s="0" t="n">
        <v>0.0110886061</v>
      </c>
      <c r="I205" s="4" t="n">
        <f aca="false">ROUND(D205*H205,2)</f>
        <v>1960245.05</v>
      </c>
      <c r="J205" s="4" t="n">
        <f aca="false">ROUND(E205-I205,2)</f>
        <v>0.01</v>
      </c>
    </row>
    <row r="206" customFormat="false" ht="15" hidden="false" customHeight="false" outlineLevel="0" collapsed="false">
      <c r="A206" s="0" t="s">
        <v>148</v>
      </c>
      <c r="B206" s="0" t="s">
        <v>119</v>
      </c>
      <c r="C206" s="0" t="s">
        <v>120</v>
      </c>
      <c r="D206" s="0" t="n">
        <v>73296890.28</v>
      </c>
      <c r="E206" s="0" t="n">
        <v>539361.78</v>
      </c>
      <c r="F206" s="0" t="n">
        <v>0.0444</v>
      </c>
      <c r="G206" s="0" t="n">
        <v>0.0444</v>
      </c>
      <c r="H206" s="0" t="n">
        <v>0.0073585902</v>
      </c>
      <c r="I206" s="4" t="n">
        <f aca="false">ROUND(D206*H206,2)</f>
        <v>539361.78</v>
      </c>
      <c r="J206" s="4" t="n">
        <f aca="false">ROUND(E206-I206,2)</f>
        <v>0</v>
      </c>
    </row>
    <row r="207" customFormat="false" ht="15" hidden="false" customHeight="false" outlineLevel="0" collapsed="false">
      <c r="A207" s="0" t="s">
        <v>148</v>
      </c>
      <c r="B207" s="0" t="s">
        <v>119</v>
      </c>
      <c r="C207" s="0" t="s">
        <v>121</v>
      </c>
      <c r="D207" s="0" t="n">
        <v>73296890.28</v>
      </c>
      <c r="E207" s="0" t="n">
        <v>539361.78</v>
      </c>
      <c r="F207" s="0" t="n">
        <v>0.0444</v>
      </c>
      <c r="G207" s="0" t="n">
        <v>0.0444</v>
      </c>
      <c r="H207" s="0" t="n">
        <v>0.0073585902</v>
      </c>
      <c r="I207" s="4" t="n">
        <f aca="false">ROUND(D207*H207,2)</f>
        <v>539361.78</v>
      </c>
      <c r="J207" s="4" t="n">
        <f aca="false">ROUND(E207-I207,2)</f>
        <v>0</v>
      </c>
    </row>
    <row r="208" customFormat="false" ht="15" hidden="false" customHeight="false" outlineLevel="0" collapsed="false">
      <c r="A208" s="0" t="s">
        <v>148</v>
      </c>
      <c r="B208" s="0" t="s">
        <v>119</v>
      </c>
      <c r="C208" s="0" t="s">
        <v>122</v>
      </c>
      <c r="D208" s="0" t="n">
        <v>73296890.28</v>
      </c>
      <c r="E208" s="0" t="n">
        <v>539361.78</v>
      </c>
      <c r="F208" s="0" t="n">
        <v>0.0444</v>
      </c>
      <c r="G208" s="0" t="n">
        <v>0.0444</v>
      </c>
      <c r="H208" s="0" t="n">
        <v>0.0073585902</v>
      </c>
      <c r="I208" s="4" t="n">
        <f aca="false">ROUND(D208*H208,2)</f>
        <v>539361.78</v>
      </c>
      <c r="J208" s="4" t="n">
        <f aca="false">ROUND(E208-I208,2)</f>
        <v>0</v>
      </c>
    </row>
    <row r="209" customFormat="false" ht="15" hidden="false" customHeight="false" outlineLevel="0" collapsed="false">
      <c r="A209" s="0" t="s">
        <v>148</v>
      </c>
      <c r="B209" s="0" t="s">
        <v>119</v>
      </c>
      <c r="C209" s="0" t="s">
        <v>123</v>
      </c>
      <c r="D209" s="0" t="n">
        <v>73296890.28</v>
      </c>
      <c r="E209" s="0" t="n">
        <v>539361.78</v>
      </c>
      <c r="F209" s="0" t="n">
        <v>0.0444</v>
      </c>
      <c r="G209" s="0" t="n">
        <v>0.0444</v>
      </c>
      <c r="H209" s="0" t="n">
        <v>0.0073585902</v>
      </c>
      <c r="I209" s="4" t="n">
        <f aca="false">ROUND(D209*H209,2)</f>
        <v>539361.78</v>
      </c>
      <c r="J209" s="4" t="n">
        <f aca="false">ROUND(E209-I209,2)</f>
        <v>0</v>
      </c>
    </row>
    <row r="210" customFormat="false" ht="15" hidden="false" customHeight="false" outlineLevel="0" collapsed="false">
      <c r="A210" s="0" t="s">
        <v>148</v>
      </c>
      <c r="B210" s="0" t="s">
        <v>119</v>
      </c>
      <c r="C210" s="0" t="s">
        <v>124</v>
      </c>
      <c r="D210" s="0" t="n">
        <v>73296890.28</v>
      </c>
      <c r="E210" s="0" t="n">
        <v>539361.78</v>
      </c>
      <c r="F210" s="0" t="n">
        <v>0.0444</v>
      </c>
      <c r="G210" s="0" t="n">
        <v>0.0444</v>
      </c>
      <c r="H210" s="0" t="n">
        <v>0.0073585902</v>
      </c>
      <c r="I210" s="4" t="n">
        <f aca="false">ROUND(D210*H210,2)</f>
        <v>539361.78</v>
      </c>
      <c r="J210" s="4" t="n">
        <f aca="false">ROUND(E210-I210,2)</f>
        <v>0</v>
      </c>
    </row>
    <row r="211" customFormat="false" ht="15" hidden="false" customHeight="false" outlineLevel="0" collapsed="false">
      <c r="A211" s="0" t="s">
        <v>148</v>
      </c>
      <c r="B211" s="0" t="s">
        <v>119</v>
      </c>
      <c r="C211" s="0" t="s">
        <v>125</v>
      </c>
      <c r="D211" s="0" t="n">
        <v>73296890.28</v>
      </c>
      <c r="E211" s="0" t="n">
        <v>539361.78</v>
      </c>
      <c r="F211" s="0" t="n">
        <v>0.0444</v>
      </c>
      <c r="G211" s="0" t="n">
        <v>0.0444</v>
      </c>
      <c r="H211" s="0" t="n">
        <v>0.0073585902</v>
      </c>
      <c r="I211" s="4" t="n">
        <f aca="false">ROUND(D211*H211,2)</f>
        <v>539361.78</v>
      </c>
      <c r="J211" s="4" t="n">
        <f aca="false">ROUND(E211-I211,2)</f>
        <v>0</v>
      </c>
    </row>
    <row r="212" customFormat="false" ht="15" hidden="false" customHeight="false" outlineLevel="0" collapsed="false">
      <c r="A212" s="0" t="s">
        <v>148</v>
      </c>
      <c r="B212" s="0" t="s">
        <v>119</v>
      </c>
      <c r="C212" s="0" t="s">
        <v>126</v>
      </c>
      <c r="D212" s="0" t="n">
        <v>73296890.28</v>
      </c>
      <c r="E212" s="0" t="n">
        <v>539361.78</v>
      </c>
      <c r="F212" s="0" t="n">
        <v>0.0444</v>
      </c>
      <c r="G212" s="0" t="n">
        <v>0.0444</v>
      </c>
      <c r="H212" s="0" t="n">
        <v>0.0073585902</v>
      </c>
      <c r="I212" s="4" t="n">
        <f aca="false">ROUND(D212*H212,2)</f>
        <v>539361.78</v>
      </c>
      <c r="J212" s="4" t="n">
        <f aca="false">ROUND(E212-I212,2)</f>
        <v>0</v>
      </c>
    </row>
    <row r="213" customFormat="false" ht="15" hidden="false" customHeight="false" outlineLevel="0" collapsed="false">
      <c r="A213" s="0" t="s">
        <v>148</v>
      </c>
      <c r="B213" s="0" t="s">
        <v>119</v>
      </c>
      <c r="C213" s="0" t="s">
        <v>127</v>
      </c>
      <c r="D213" s="0" t="n">
        <v>73296890.28</v>
      </c>
      <c r="E213" s="0" t="n">
        <v>539361.78</v>
      </c>
      <c r="F213" s="0" t="n">
        <v>0.0444</v>
      </c>
      <c r="G213" s="0" t="n">
        <v>0.0444</v>
      </c>
      <c r="H213" s="0" t="n">
        <v>0.0073585902</v>
      </c>
      <c r="I213" s="4" t="n">
        <f aca="false">ROUND(D213*H213,2)</f>
        <v>539361.78</v>
      </c>
      <c r="J213" s="4" t="n">
        <f aca="false">ROUND(E213-I213,2)</f>
        <v>0</v>
      </c>
    </row>
    <row r="214" customFormat="false" ht="15" hidden="false" customHeight="false" outlineLevel="0" collapsed="false">
      <c r="A214" s="0" t="s">
        <v>148</v>
      </c>
      <c r="B214" s="0" t="s">
        <v>119</v>
      </c>
      <c r="C214" s="0" t="s">
        <v>128</v>
      </c>
      <c r="D214" s="0" t="n">
        <v>73296890.28</v>
      </c>
      <c r="E214" s="0" t="n">
        <v>539361.78</v>
      </c>
      <c r="F214" s="0" t="n">
        <v>0.0444</v>
      </c>
      <c r="G214" s="0" t="n">
        <v>0.0444</v>
      </c>
      <c r="H214" s="0" t="n">
        <v>0.0073585902</v>
      </c>
      <c r="I214" s="4" t="n">
        <f aca="false">ROUND(D214*H214,2)</f>
        <v>539361.78</v>
      </c>
      <c r="J214" s="4" t="n">
        <f aca="false">ROUND(E214-I214,2)</f>
        <v>0</v>
      </c>
    </row>
    <row r="215" customFormat="false" ht="15" hidden="false" customHeight="false" outlineLevel="0" collapsed="false">
      <c r="A215" s="0" t="s">
        <v>148</v>
      </c>
      <c r="B215" s="0" t="s">
        <v>119</v>
      </c>
      <c r="C215" s="0" t="s">
        <v>129</v>
      </c>
      <c r="D215" s="0" t="n">
        <v>73296890.28</v>
      </c>
      <c r="E215" s="0" t="n">
        <v>539361.78</v>
      </c>
      <c r="F215" s="0" t="n">
        <v>0.0444</v>
      </c>
      <c r="G215" s="0" t="n">
        <v>0.0444</v>
      </c>
      <c r="H215" s="0" t="n">
        <v>0.0073585902</v>
      </c>
      <c r="I215" s="4" t="n">
        <f aca="false">ROUND(D215*H215,2)</f>
        <v>539361.78</v>
      </c>
      <c r="J215" s="4" t="n">
        <f aca="false">ROUND(E215-I215,2)</f>
        <v>0</v>
      </c>
    </row>
    <row r="216" customFormat="false" ht="15" hidden="false" customHeight="false" outlineLevel="0" collapsed="false">
      <c r="A216" s="0" t="s">
        <v>148</v>
      </c>
      <c r="B216" s="0" t="s">
        <v>119</v>
      </c>
      <c r="C216" s="0" t="s">
        <v>130</v>
      </c>
      <c r="D216" s="0" t="n">
        <v>73296890.28</v>
      </c>
      <c r="E216" s="0" t="n">
        <v>539361.78</v>
      </c>
      <c r="F216" s="0" t="n">
        <v>0.0444</v>
      </c>
      <c r="G216" s="0" t="n">
        <v>0.0444</v>
      </c>
      <c r="H216" s="0" t="n">
        <v>0.0073585902</v>
      </c>
      <c r="I216" s="4" t="n">
        <f aca="false">ROUND(D216*H216,2)</f>
        <v>539361.78</v>
      </c>
      <c r="J216" s="4" t="n">
        <f aca="false">ROUND(E216-I216,2)</f>
        <v>0</v>
      </c>
    </row>
    <row r="217" customFormat="false" ht="15" hidden="false" customHeight="false" outlineLevel="0" collapsed="false">
      <c r="A217" s="0" t="s">
        <v>148</v>
      </c>
      <c r="B217" s="0" t="s">
        <v>119</v>
      </c>
      <c r="C217" s="0" t="s">
        <v>131</v>
      </c>
      <c r="D217" s="0" t="n">
        <v>73296890.28</v>
      </c>
      <c r="E217" s="0" t="n">
        <v>539361.78</v>
      </c>
      <c r="F217" s="0" t="n">
        <v>0.0444</v>
      </c>
      <c r="G217" s="0" t="n">
        <v>0.0444</v>
      </c>
      <c r="H217" s="0" t="n">
        <v>0.0073585902</v>
      </c>
      <c r="I217" s="4" t="n">
        <f aca="false">ROUND(D217*H217,2)</f>
        <v>539361.78</v>
      </c>
      <c r="J217" s="4" t="n">
        <f aca="false">ROUND(E217-I217,2)</f>
        <v>0</v>
      </c>
    </row>
    <row r="218" customFormat="false" ht="15" hidden="false" customHeight="false" outlineLevel="0" collapsed="false">
      <c r="A218" s="0" t="s">
        <v>149</v>
      </c>
      <c r="B218" s="0" t="s">
        <v>119</v>
      </c>
      <c r="C218" s="0" t="s">
        <v>120</v>
      </c>
      <c r="D218" s="0" t="n">
        <v>619365382.32</v>
      </c>
      <c r="E218" s="0" t="n">
        <v>5033162.42</v>
      </c>
      <c r="F218" s="0" t="n">
        <v>0.0537</v>
      </c>
      <c r="G218" s="0" t="n">
        <v>0.0537</v>
      </c>
      <c r="H218" s="0" t="n">
        <v>0.0081263218</v>
      </c>
      <c r="I218" s="4" t="n">
        <f aca="false">ROUND(D218*H218,2)</f>
        <v>5033162.41</v>
      </c>
      <c r="J218" s="4" t="n">
        <f aca="false">ROUND(E218-I218,2)</f>
        <v>0.01</v>
      </c>
    </row>
    <row r="219" customFormat="false" ht="15" hidden="false" customHeight="false" outlineLevel="0" collapsed="false">
      <c r="A219" s="0" t="s">
        <v>149</v>
      </c>
      <c r="B219" s="0" t="s">
        <v>119</v>
      </c>
      <c r="C219" s="0" t="s">
        <v>121</v>
      </c>
      <c r="D219" s="0" t="n">
        <v>619838904.8</v>
      </c>
      <c r="E219" s="0" t="n">
        <v>5037010.42</v>
      </c>
      <c r="F219" s="0" t="n">
        <v>0.0537</v>
      </c>
      <c r="G219" s="0" t="n">
        <v>0.0537</v>
      </c>
      <c r="H219" s="0" t="n">
        <v>0.0081263218</v>
      </c>
      <c r="I219" s="4" t="n">
        <f aca="false">ROUND(D219*H219,2)</f>
        <v>5037010.4</v>
      </c>
      <c r="J219" s="4" t="n">
        <f aca="false">ROUND(E219-I219,2)</f>
        <v>0.02</v>
      </c>
    </row>
    <row r="220" customFormat="false" ht="15" hidden="false" customHeight="false" outlineLevel="0" collapsed="false">
      <c r="A220" s="0" t="s">
        <v>149</v>
      </c>
      <c r="B220" s="0" t="s">
        <v>119</v>
      </c>
      <c r="C220" s="0" t="s">
        <v>122</v>
      </c>
      <c r="D220" s="0" t="n">
        <v>620238962.8</v>
      </c>
      <c r="E220" s="0" t="n">
        <v>5040261.42</v>
      </c>
      <c r="F220" s="0" t="n">
        <v>0.0537</v>
      </c>
      <c r="G220" s="0" t="n">
        <v>0.0537</v>
      </c>
      <c r="H220" s="0" t="n">
        <v>0.0081263218</v>
      </c>
      <c r="I220" s="4" t="n">
        <f aca="false">ROUND(D220*H220,2)</f>
        <v>5040261.4</v>
      </c>
      <c r="J220" s="4" t="n">
        <f aca="false">ROUND(E220-I220,2)</f>
        <v>0.02</v>
      </c>
    </row>
    <row r="221" customFormat="false" ht="15" hidden="false" customHeight="false" outlineLevel="0" collapsed="false">
      <c r="A221" s="0" t="s">
        <v>149</v>
      </c>
      <c r="B221" s="0" t="s">
        <v>119</v>
      </c>
      <c r="C221" s="0" t="s">
        <v>123</v>
      </c>
      <c r="D221" s="0" t="n">
        <v>620744509.87</v>
      </c>
      <c r="E221" s="0" t="n">
        <v>5044369.66</v>
      </c>
      <c r="F221" s="0" t="n">
        <v>0.0537</v>
      </c>
      <c r="G221" s="0" t="n">
        <v>0.0537</v>
      </c>
      <c r="H221" s="0" t="n">
        <v>0.0081263218</v>
      </c>
      <c r="I221" s="4" t="n">
        <f aca="false">ROUND(D221*H221,2)</f>
        <v>5044369.64</v>
      </c>
      <c r="J221" s="4" t="n">
        <f aca="false">ROUND(E221-I221,2)</f>
        <v>0.02</v>
      </c>
    </row>
    <row r="222" customFormat="false" ht="15" hidden="false" customHeight="false" outlineLevel="0" collapsed="false">
      <c r="A222" s="0" t="s">
        <v>149</v>
      </c>
      <c r="B222" s="0" t="s">
        <v>119</v>
      </c>
      <c r="C222" s="0" t="s">
        <v>124</v>
      </c>
      <c r="D222" s="0" t="n">
        <v>621305571.89</v>
      </c>
      <c r="E222" s="0" t="n">
        <v>5048929.03</v>
      </c>
      <c r="F222" s="0" t="n">
        <v>0.0537</v>
      </c>
      <c r="G222" s="0" t="n">
        <v>0.0537</v>
      </c>
      <c r="H222" s="0" t="n">
        <v>0.0081263218</v>
      </c>
      <c r="I222" s="4" t="n">
        <f aca="false">ROUND(D222*H222,2)</f>
        <v>5048929.01</v>
      </c>
      <c r="J222" s="4" t="n">
        <f aca="false">ROUND(E222-I222,2)</f>
        <v>0.02</v>
      </c>
    </row>
    <row r="223" customFormat="false" ht="15" hidden="false" customHeight="false" outlineLevel="0" collapsed="false">
      <c r="A223" s="0" t="s">
        <v>149</v>
      </c>
      <c r="B223" s="0" t="s">
        <v>119</v>
      </c>
      <c r="C223" s="0" t="s">
        <v>125</v>
      </c>
      <c r="D223" s="0" t="n">
        <v>622046302.62</v>
      </c>
      <c r="E223" s="0" t="n">
        <v>5054948.45</v>
      </c>
      <c r="F223" s="0" t="n">
        <v>0.0537</v>
      </c>
      <c r="G223" s="0" t="n">
        <v>0.0537</v>
      </c>
      <c r="H223" s="0" t="n">
        <v>0.0081263218</v>
      </c>
      <c r="I223" s="4" t="n">
        <f aca="false">ROUND(D223*H223,2)</f>
        <v>5054948.43</v>
      </c>
      <c r="J223" s="4" t="n">
        <f aca="false">ROUND(E223-I223,2)</f>
        <v>0.02</v>
      </c>
    </row>
    <row r="224" customFormat="false" ht="15" hidden="false" customHeight="false" outlineLevel="0" collapsed="false">
      <c r="A224" s="0" t="s">
        <v>149</v>
      </c>
      <c r="B224" s="0" t="s">
        <v>119</v>
      </c>
      <c r="C224" s="0" t="s">
        <v>126</v>
      </c>
      <c r="D224" s="0" t="n">
        <v>623003098.25</v>
      </c>
      <c r="E224" s="0" t="n">
        <v>5062723.67</v>
      </c>
      <c r="F224" s="0" t="n">
        <v>0.0537</v>
      </c>
      <c r="G224" s="0" t="n">
        <v>0.0537</v>
      </c>
      <c r="H224" s="0" t="n">
        <v>0.0081263218</v>
      </c>
      <c r="I224" s="4" t="n">
        <f aca="false">ROUND(D224*H224,2)</f>
        <v>5062723.66</v>
      </c>
      <c r="J224" s="4" t="n">
        <f aca="false">ROUND(E224-I224,2)</f>
        <v>0.01</v>
      </c>
    </row>
    <row r="225" customFormat="false" ht="15" hidden="false" customHeight="false" outlineLevel="0" collapsed="false">
      <c r="A225" s="0" t="s">
        <v>149</v>
      </c>
      <c r="B225" s="0" t="s">
        <v>119</v>
      </c>
      <c r="C225" s="0" t="s">
        <v>127</v>
      </c>
      <c r="D225" s="0" t="n">
        <v>623889903.22</v>
      </c>
      <c r="E225" s="0" t="n">
        <v>5069930.14</v>
      </c>
      <c r="F225" s="0" t="n">
        <v>0.0537</v>
      </c>
      <c r="G225" s="0" t="n">
        <v>0.0537</v>
      </c>
      <c r="H225" s="0" t="n">
        <v>0.0081263218</v>
      </c>
      <c r="I225" s="4" t="n">
        <f aca="false">ROUND(D225*H225,2)</f>
        <v>5069930.12</v>
      </c>
      <c r="J225" s="4" t="n">
        <f aca="false">ROUND(E225-I225,2)</f>
        <v>0.02</v>
      </c>
    </row>
    <row r="226" customFormat="false" ht="15" hidden="false" customHeight="false" outlineLevel="0" collapsed="false">
      <c r="A226" s="0" t="s">
        <v>149</v>
      </c>
      <c r="B226" s="0" t="s">
        <v>119</v>
      </c>
      <c r="C226" s="0" t="s">
        <v>128</v>
      </c>
      <c r="D226" s="0" t="n">
        <v>624727806.24</v>
      </c>
      <c r="E226" s="0" t="n">
        <v>5076739.21</v>
      </c>
      <c r="F226" s="0" t="n">
        <v>0.0537</v>
      </c>
      <c r="G226" s="0" t="n">
        <v>0.0537</v>
      </c>
      <c r="H226" s="0" t="n">
        <v>0.0081263218</v>
      </c>
      <c r="I226" s="4" t="n">
        <f aca="false">ROUND(D226*H226,2)</f>
        <v>5076739.19</v>
      </c>
      <c r="J226" s="4" t="n">
        <f aca="false">ROUND(E226-I226,2)</f>
        <v>0.02</v>
      </c>
    </row>
    <row r="227" customFormat="false" ht="15" hidden="false" customHeight="false" outlineLevel="0" collapsed="false">
      <c r="A227" s="0" t="s">
        <v>149</v>
      </c>
      <c r="B227" s="0" t="s">
        <v>119</v>
      </c>
      <c r="C227" s="0" t="s">
        <v>129</v>
      </c>
      <c r="D227" s="0" t="n">
        <v>625431983.9</v>
      </c>
      <c r="E227" s="0" t="n">
        <v>5082461.58</v>
      </c>
      <c r="F227" s="0" t="n">
        <v>0.0537</v>
      </c>
      <c r="G227" s="0" t="n">
        <v>0.0537</v>
      </c>
      <c r="H227" s="0" t="n">
        <v>0.0081263218</v>
      </c>
      <c r="I227" s="4" t="n">
        <f aca="false">ROUND(D227*H227,2)</f>
        <v>5082461.57</v>
      </c>
      <c r="J227" s="4" t="n">
        <f aca="false">ROUND(E227-I227,2)</f>
        <v>0.01</v>
      </c>
    </row>
    <row r="228" customFormat="false" ht="15" hidden="false" customHeight="false" outlineLevel="0" collapsed="false">
      <c r="A228" s="0" t="s">
        <v>149</v>
      </c>
      <c r="B228" s="0" t="s">
        <v>119</v>
      </c>
      <c r="C228" s="0" t="s">
        <v>130</v>
      </c>
      <c r="D228" s="0" t="n">
        <v>626114863.02</v>
      </c>
      <c r="E228" s="0" t="n">
        <v>5088010.88</v>
      </c>
      <c r="F228" s="0" t="n">
        <v>0.0537</v>
      </c>
      <c r="G228" s="0" t="n">
        <v>0.0537</v>
      </c>
      <c r="H228" s="0" t="n">
        <v>0.0081263218</v>
      </c>
      <c r="I228" s="4" t="n">
        <f aca="false">ROUND(D228*H228,2)</f>
        <v>5088010.86</v>
      </c>
      <c r="J228" s="4" t="n">
        <f aca="false">ROUND(E228-I228,2)</f>
        <v>0.02</v>
      </c>
    </row>
    <row r="229" customFormat="false" ht="15" hidden="false" customHeight="false" outlineLevel="0" collapsed="false">
      <c r="A229" s="0" t="s">
        <v>149</v>
      </c>
      <c r="B229" s="0" t="s">
        <v>119</v>
      </c>
      <c r="C229" s="0" t="s">
        <v>131</v>
      </c>
      <c r="D229" s="0" t="n">
        <v>627304080.1</v>
      </c>
      <c r="E229" s="0" t="n">
        <v>5097674.84</v>
      </c>
      <c r="F229" s="0" t="n">
        <v>0.0537</v>
      </c>
      <c r="G229" s="0" t="n">
        <v>0.0537</v>
      </c>
      <c r="H229" s="0" t="n">
        <v>0.0081263218</v>
      </c>
      <c r="I229" s="4" t="n">
        <f aca="false">ROUND(D229*H229,2)</f>
        <v>5097674.82</v>
      </c>
      <c r="J229" s="4" t="n">
        <f aca="false">ROUND(E229-I229,2)</f>
        <v>0.02</v>
      </c>
    </row>
    <row r="230" customFormat="false" ht="15" hidden="false" customHeight="false" outlineLevel="0" collapsed="false">
      <c r="A230" s="0" t="s">
        <v>150</v>
      </c>
      <c r="B230" s="0" t="s">
        <v>119</v>
      </c>
      <c r="C230" s="0" t="s">
        <v>120</v>
      </c>
      <c r="D230" s="0" t="n">
        <v>82598753.11</v>
      </c>
      <c r="E230" s="0" t="n">
        <v>787165.17</v>
      </c>
      <c r="F230" s="0" t="n">
        <v>0.0709</v>
      </c>
      <c r="G230" s="0" t="n">
        <v>0.0709</v>
      </c>
      <c r="H230" s="0" t="n">
        <v>0.0095299885</v>
      </c>
      <c r="I230" s="4" t="n">
        <f aca="false">ROUND(D230*H230,2)</f>
        <v>787165.17</v>
      </c>
      <c r="J230" s="4" t="n">
        <f aca="false">ROUND(E230-I230,2)</f>
        <v>0</v>
      </c>
    </row>
    <row r="231" customFormat="false" ht="15" hidden="false" customHeight="false" outlineLevel="0" collapsed="false">
      <c r="A231" s="0" t="s">
        <v>150</v>
      </c>
      <c r="B231" s="0" t="s">
        <v>119</v>
      </c>
      <c r="C231" s="0" t="s">
        <v>121</v>
      </c>
      <c r="D231" s="0" t="n">
        <v>82598753.11</v>
      </c>
      <c r="E231" s="0" t="n">
        <v>787165.17</v>
      </c>
      <c r="F231" s="0" t="n">
        <v>0.0709</v>
      </c>
      <c r="G231" s="0" t="n">
        <v>0.0709</v>
      </c>
      <c r="H231" s="0" t="n">
        <v>0.0095299885</v>
      </c>
      <c r="I231" s="4" t="n">
        <f aca="false">ROUND(D231*H231,2)</f>
        <v>787165.17</v>
      </c>
      <c r="J231" s="4" t="n">
        <f aca="false">ROUND(E231-I231,2)</f>
        <v>0</v>
      </c>
    </row>
    <row r="232" customFormat="false" ht="15" hidden="false" customHeight="false" outlineLevel="0" collapsed="false">
      <c r="A232" s="0" t="s">
        <v>150</v>
      </c>
      <c r="B232" s="0" t="s">
        <v>119</v>
      </c>
      <c r="C232" s="0" t="s">
        <v>122</v>
      </c>
      <c r="D232" s="0" t="n">
        <v>82598753.11</v>
      </c>
      <c r="E232" s="0" t="n">
        <v>787165.17</v>
      </c>
      <c r="F232" s="0" t="n">
        <v>0.0709</v>
      </c>
      <c r="G232" s="0" t="n">
        <v>0.0709</v>
      </c>
      <c r="H232" s="0" t="n">
        <v>0.0095299885</v>
      </c>
      <c r="I232" s="4" t="n">
        <f aca="false">ROUND(D232*H232,2)</f>
        <v>787165.17</v>
      </c>
      <c r="J232" s="4" t="n">
        <f aca="false">ROUND(E232-I232,2)</f>
        <v>0</v>
      </c>
    </row>
    <row r="233" customFormat="false" ht="15" hidden="false" customHeight="false" outlineLevel="0" collapsed="false">
      <c r="A233" s="0" t="s">
        <v>150</v>
      </c>
      <c r="B233" s="0" t="s">
        <v>119</v>
      </c>
      <c r="C233" s="0" t="s">
        <v>123</v>
      </c>
      <c r="D233" s="0" t="n">
        <v>82598753.11</v>
      </c>
      <c r="E233" s="0" t="n">
        <v>787165.17</v>
      </c>
      <c r="F233" s="0" t="n">
        <v>0.0709</v>
      </c>
      <c r="G233" s="0" t="n">
        <v>0.0709</v>
      </c>
      <c r="H233" s="0" t="n">
        <v>0.0095299885</v>
      </c>
      <c r="I233" s="4" t="n">
        <f aca="false">ROUND(D233*H233,2)</f>
        <v>787165.17</v>
      </c>
      <c r="J233" s="4" t="n">
        <f aca="false">ROUND(E233-I233,2)</f>
        <v>0</v>
      </c>
    </row>
    <row r="234" customFormat="false" ht="15" hidden="false" customHeight="false" outlineLevel="0" collapsed="false">
      <c r="A234" s="0" t="s">
        <v>150</v>
      </c>
      <c r="B234" s="0" t="s">
        <v>119</v>
      </c>
      <c r="C234" s="0" t="s">
        <v>124</v>
      </c>
      <c r="D234" s="0" t="n">
        <v>82598753.11</v>
      </c>
      <c r="E234" s="0" t="n">
        <v>787165.17</v>
      </c>
      <c r="F234" s="0" t="n">
        <v>0.0709</v>
      </c>
      <c r="G234" s="0" t="n">
        <v>0.0709</v>
      </c>
      <c r="H234" s="0" t="n">
        <v>0.0095299885</v>
      </c>
      <c r="I234" s="4" t="n">
        <f aca="false">ROUND(D234*H234,2)</f>
        <v>787165.17</v>
      </c>
      <c r="J234" s="4" t="n">
        <f aca="false">ROUND(E234-I234,2)</f>
        <v>0</v>
      </c>
    </row>
    <row r="235" customFormat="false" ht="15" hidden="false" customHeight="false" outlineLevel="0" collapsed="false">
      <c r="A235" s="0" t="s">
        <v>150</v>
      </c>
      <c r="B235" s="0" t="s">
        <v>119</v>
      </c>
      <c r="C235" s="0" t="s">
        <v>125</v>
      </c>
      <c r="D235" s="0" t="n">
        <v>82598753.11</v>
      </c>
      <c r="E235" s="0" t="n">
        <v>787165.17</v>
      </c>
      <c r="F235" s="0" t="n">
        <v>0.0709</v>
      </c>
      <c r="G235" s="0" t="n">
        <v>0.0709</v>
      </c>
      <c r="H235" s="0" t="n">
        <v>0.0095299885</v>
      </c>
      <c r="I235" s="4" t="n">
        <f aca="false">ROUND(D235*H235,2)</f>
        <v>787165.17</v>
      </c>
      <c r="J235" s="4" t="n">
        <f aca="false">ROUND(E235-I235,2)</f>
        <v>0</v>
      </c>
    </row>
    <row r="236" customFormat="false" ht="15" hidden="false" customHeight="false" outlineLevel="0" collapsed="false">
      <c r="A236" s="0" t="s">
        <v>150</v>
      </c>
      <c r="B236" s="0" t="s">
        <v>119</v>
      </c>
      <c r="C236" s="0" t="s">
        <v>126</v>
      </c>
      <c r="D236" s="0" t="n">
        <v>82598753.11</v>
      </c>
      <c r="E236" s="0" t="n">
        <v>787165.17</v>
      </c>
      <c r="F236" s="0" t="n">
        <v>0.0709</v>
      </c>
      <c r="G236" s="0" t="n">
        <v>0.0709</v>
      </c>
      <c r="H236" s="0" t="n">
        <v>0.0095299885</v>
      </c>
      <c r="I236" s="4" t="n">
        <f aca="false">ROUND(D236*H236,2)</f>
        <v>787165.17</v>
      </c>
      <c r="J236" s="4" t="n">
        <f aca="false">ROUND(E236-I236,2)</f>
        <v>0</v>
      </c>
    </row>
    <row r="237" customFormat="false" ht="15" hidden="false" customHeight="false" outlineLevel="0" collapsed="false">
      <c r="A237" s="0" t="s">
        <v>150</v>
      </c>
      <c r="B237" s="0" t="s">
        <v>119</v>
      </c>
      <c r="C237" s="0" t="s">
        <v>127</v>
      </c>
      <c r="D237" s="0" t="n">
        <v>82598753.11</v>
      </c>
      <c r="E237" s="0" t="n">
        <v>787165.17</v>
      </c>
      <c r="F237" s="0" t="n">
        <v>0.0709</v>
      </c>
      <c r="G237" s="0" t="n">
        <v>0.0709</v>
      </c>
      <c r="H237" s="0" t="n">
        <v>0.0095299885</v>
      </c>
      <c r="I237" s="4" t="n">
        <f aca="false">ROUND(D237*H237,2)</f>
        <v>787165.17</v>
      </c>
      <c r="J237" s="4" t="n">
        <f aca="false">ROUND(E237-I237,2)</f>
        <v>0</v>
      </c>
    </row>
    <row r="238" customFormat="false" ht="15" hidden="false" customHeight="false" outlineLevel="0" collapsed="false">
      <c r="A238" s="0" t="s">
        <v>150</v>
      </c>
      <c r="B238" s="0" t="s">
        <v>119</v>
      </c>
      <c r="C238" s="0" t="s">
        <v>128</v>
      </c>
      <c r="D238" s="0" t="n">
        <v>82598753.11</v>
      </c>
      <c r="E238" s="0" t="n">
        <v>787165.17</v>
      </c>
      <c r="F238" s="0" t="n">
        <v>0.0709</v>
      </c>
      <c r="G238" s="0" t="n">
        <v>0.0709</v>
      </c>
      <c r="H238" s="0" t="n">
        <v>0.0095299885</v>
      </c>
      <c r="I238" s="4" t="n">
        <f aca="false">ROUND(D238*H238,2)</f>
        <v>787165.17</v>
      </c>
      <c r="J238" s="4" t="n">
        <f aca="false">ROUND(E238-I238,2)</f>
        <v>0</v>
      </c>
    </row>
    <row r="239" customFormat="false" ht="15" hidden="false" customHeight="false" outlineLevel="0" collapsed="false">
      <c r="A239" s="0" t="s">
        <v>150</v>
      </c>
      <c r="B239" s="0" t="s">
        <v>119</v>
      </c>
      <c r="C239" s="0" t="s">
        <v>129</v>
      </c>
      <c r="D239" s="0" t="n">
        <v>82598753.11</v>
      </c>
      <c r="E239" s="0" t="n">
        <v>787165.17</v>
      </c>
      <c r="F239" s="0" t="n">
        <v>0.0709</v>
      </c>
      <c r="G239" s="0" t="n">
        <v>0.0709</v>
      </c>
      <c r="H239" s="0" t="n">
        <v>0.0095299885</v>
      </c>
      <c r="I239" s="4" t="n">
        <f aca="false">ROUND(D239*H239,2)</f>
        <v>787165.17</v>
      </c>
      <c r="J239" s="4" t="n">
        <f aca="false">ROUND(E239-I239,2)</f>
        <v>0</v>
      </c>
    </row>
    <row r="240" customFormat="false" ht="15" hidden="false" customHeight="false" outlineLevel="0" collapsed="false">
      <c r="A240" s="0" t="s">
        <v>150</v>
      </c>
      <c r="B240" s="0" t="s">
        <v>119</v>
      </c>
      <c r="C240" s="0" t="s">
        <v>130</v>
      </c>
      <c r="D240" s="0" t="n">
        <v>82598753.11</v>
      </c>
      <c r="E240" s="0" t="n">
        <v>787165.17</v>
      </c>
      <c r="F240" s="0" t="n">
        <v>0.0709</v>
      </c>
      <c r="G240" s="0" t="n">
        <v>0.0709</v>
      </c>
      <c r="H240" s="0" t="n">
        <v>0.0095299885</v>
      </c>
      <c r="I240" s="4" t="n">
        <f aca="false">ROUND(D240*H240,2)</f>
        <v>787165.17</v>
      </c>
      <c r="J240" s="4" t="n">
        <f aca="false">ROUND(E240-I240,2)</f>
        <v>0</v>
      </c>
    </row>
    <row r="241" customFormat="false" ht="15" hidden="false" customHeight="false" outlineLevel="0" collapsed="false">
      <c r="A241" s="0" t="s">
        <v>150</v>
      </c>
      <c r="B241" s="0" t="s">
        <v>119</v>
      </c>
      <c r="C241" s="0" t="s">
        <v>131</v>
      </c>
      <c r="D241" s="0" t="n">
        <v>82598753.11</v>
      </c>
      <c r="E241" s="0" t="n">
        <v>787165.17</v>
      </c>
      <c r="F241" s="0" t="n">
        <v>0.0709</v>
      </c>
      <c r="G241" s="0" t="n">
        <v>0.0709</v>
      </c>
      <c r="H241" s="0" t="n">
        <v>0.0095299885</v>
      </c>
      <c r="I241" s="4" t="n">
        <f aca="false">ROUND(D241*H241,2)</f>
        <v>787165.17</v>
      </c>
      <c r="J241" s="4" t="n">
        <f aca="false">ROUND(E241-I241,2)</f>
        <v>0</v>
      </c>
    </row>
    <row r="242" customFormat="false" ht="15" hidden="false" customHeight="false" outlineLevel="0" collapsed="false">
      <c r="A242" s="0" t="s">
        <v>151</v>
      </c>
      <c r="B242" s="0" t="s">
        <v>119</v>
      </c>
      <c r="C242" s="0" t="s">
        <v>120</v>
      </c>
      <c r="D242" s="0" t="n">
        <v>157791759.42</v>
      </c>
      <c r="E242" s="0" t="n">
        <v>1219864.8</v>
      </c>
      <c r="F242" s="0" t="n">
        <v>0.0489</v>
      </c>
      <c r="G242" s="0" t="n">
        <v>0.0489</v>
      </c>
      <c r="H242" s="0" t="n">
        <v>0.0077308524</v>
      </c>
      <c r="I242" s="4" t="n">
        <f aca="false">ROUND(D242*H242,2)</f>
        <v>1219864.8</v>
      </c>
      <c r="J242" s="4" t="n">
        <f aca="false">ROUND(E242-I242,2)</f>
        <v>0</v>
      </c>
    </row>
    <row r="243" customFormat="false" ht="15" hidden="false" customHeight="false" outlineLevel="0" collapsed="false">
      <c r="A243" s="0" t="s">
        <v>151</v>
      </c>
      <c r="B243" s="0" t="s">
        <v>119</v>
      </c>
      <c r="C243" s="0" t="s">
        <v>121</v>
      </c>
      <c r="D243" s="0" t="n">
        <v>158136204.38</v>
      </c>
      <c r="E243" s="0" t="n">
        <v>1222527.65</v>
      </c>
      <c r="F243" s="0" t="n">
        <v>0.0489</v>
      </c>
      <c r="G243" s="0" t="n">
        <v>0.0489</v>
      </c>
      <c r="H243" s="0" t="n">
        <v>0.0077308524</v>
      </c>
      <c r="I243" s="4" t="n">
        <f aca="false">ROUND(D243*H243,2)</f>
        <v>1222527.66</v>
      </c>
      <c r="J243" s="4" t="n">
        <f aca="false">ROUND(E243-I243,2)</f>
        <v>-0.01</v>
      </c>
    </row>
    <row r="244" customFormat="false" ht="15" hidden="false" customHeight="false" outlineLevel="0" collapsed="false">
      <c r="A244" s="0" t="s">
        <v>151</v>
      </c>
      <c r="B244" s="0" t="s">
        <v>119</v>
      </c>
      <c r="C244" s="0" t="s">
        <v>122</v>
      </c>
      <c r="D244" s="0" t="n">
        <v>158609807.62</v>
      </c>
      <c r="E244" s="0" t="n">
        <v>1226189.01</v>
      </c>
      <c r="F244" s="0" t="n">
        <v>0.0489</v>
      </c>
      <c r="G244" s="0" t="n">
        <v>0.0489</v>
      </c>
      <c r="H244" s="0" t="n">
        <v>0.0077308524</v>
      </c>
      <c r="I244" s="4" t="n">
        <f aca="false">ROUND(D244*H244,2)</f>
        <v>1226189.01</v>
      </c>
      <c r="J244" s="4" t="n">
        <f aca="false">ROUND(E244-I244,2)</f>
        <v>0</v>
      </c>
    </row>
    <row r="245" customFormat="false" ht="15" hidden="false" customHeight="false" outlineLevel="0" collapsed="false">
      <c r="A245" s="0" t="s">
        <v>151</v>
      </c>
      <c r="B245" s="0" t="s">
        <v>119</v>
      </c>
      <c r="C245" s="0" t="s">
        <v>123</v>
      </c>
      <c r="D245" s="0" t="n">
        <v>158936216.59</v>
      </c>
      <c r="E245" s="0" t="n">
        <v>1228712.43</v>
      </c>
      <c r="F245" s="0" t="n">
        <v>0.0489</v>
      </c>
      <c r="G245" s="0" t="n">
        <v>0.0489</v>
      </c>
      <c r="H245" s="0" t="n">
        <v>0.0077308524</v>
      </c>
      <c r="I245" s="4" t="n">
        <f aca="false">ROUND(D245*H245,2)</f>
        <v>1228712.43</v>
      </c>
      <c r="J245" s="4" t="n">
        <f aca="false">ROUND(E245-I245,2)</f>
        <v>0</v>
      </c>
    </row>
    <row r="246" customFormat="false" ht="15" hidden="false" customHeight="false" outlineLevel="0" collapsed="false">
      <c r="A246" s="0" t="s">
        <v>151</v>
      </c>
      <c r="B246" s="0" t="s">
        <v>119</v>
      </c>
      <c r="C246" s="0" t="s">
        <v>124</v>
      </c>
      <c r="D246" s="0" t="n">
        <v>159178859.56</v>
      </c>
      <c r="E246" s="0" t="n">
        <v>1230588.27</v>
      </c>
      <c r="F246" s="0" t="n">
        <v>0.0489</v>
      </c>
      <c r="G246" s="0" t="n">
        <v>0.0489</v>
      </c>
      <c r="H246" s="0" t="n">
        <v>0.0077308524</v>
      </c>
      <c r="I246" s="4" t="n">
        <f aca="false">ROUND(D246*H246,2)</f>
        <v>1230588.27</v>
      </c>
      <c r="J246" s="4" t="n">
        <f aca="false">ROUND(E246-I246,2)</f>
        <v>0</v>
      </c>
    </row>
    <row r="247" customFormat="false" ht="15" hidden="false" customHeight="false" outlineLevel="0" collapsed="false">
      <c r="A247" s="0" t="s">
        <v>151</v>
      </c>
      <c r="B247" s="0" t="s">
        <v>119</v>
      </c>
      <c r="C247" s="0" t="s">
        <v>125</v>
      </c>
      <c r="D247" s="0" t="n">
        <v>159423964.59</v>
      </c>
      <c r="E247" s="0" t="n">
        <v>1232483.14</v>
      </c>
      <c r="F247" s="0" t="n">
        <v>0.0489</v>
      </c>
      <c r="G247" s="0" t="n">
        <v>0.0489</v>
      </c>
      <c r="H247" s="0" t="n">
        <v>0.0077308524</v>
      </c>
      <c r="I247" s="4" t="n">
        <f aca="false">ROUND(D247*H247,2)</f>
        <v>1232483.14</v>
      </c>
      <c r="J247" s="4" t="n">
        <f aca="false">ROUND(E247-I247,2)</f>
        <v>0</v>
      </c>
    </row>
    <row r="248" customFormat="false" ht="15" hidden="false" customHeight="false" outlineLevel="0" collapsed="false">
      <c r="A248" s="0" t="s">
        <v>151</v>
      </c>
      <c r="B248" s="0" t="s">
        <v>119</v>
      </c>
      <c r="C248" s="0" t="s">
        <v>126</v>
      </c>
      <c r="D248" s="0" t="n">
        <v>159638314.37</v>
      </c>
      <c r="E248" s="0" t="n">
        <v>1234140.24</v>
      </c>
      <c r="F248" s="0" t="n">
        <v>0.0489</v>
      </c>
      <c r="G248" s="0" t="n">
        <v>0.0489</v>
      </c>
      <c r="H248" s="0" t="n">
        <v>0.0077308524</v>
      </c>
      <c r="I248" s="4" t="n">
        <f aca="false">ROUND(D248*H248,2)</f>
        <v>1234140.25</v>
      </c>
      <c r="J248" s="4" t="n">
        <f aca="false">ROUND(E248-I248,2)</f>
        <v>-0.01</v>
      </c>
    </row>
    <row r="249" customFormat="false" ht="15" hidden="false" customHeight="false" outlineLevel="0" collapsed="false">
      <c r="A249" s="0" t="s">
        <v>151</v>
      </c>
      <c r="B249" s="0" t="s">
        <v>119</v>
      </c>
      <c r="C249" s="0" t="s">
        <v>127</v>
      </c>
      <c r="D249" s="0" t="n">
        <v>159986072.98</v>
      </c>
      <c r="E249" s="0" t="n">
        <v>1236828.71</v>
      </c>
      <c r="F249" s="0" t="n">
        <v>0.0489</v>
      </c>
      <c r="G249" s="0" t="n">
        <v>0.0489</v>
      </c>
      <c r="H249" s="0" t="n">
        <v>0.0077308524</v>
      </c>
      <c r="I249" s="4" t="n">
        <f aca="false">ROUND(D249*H249,2)</f>
        <v>1236828.72</v>
      </c>
      <c r="J249" s="4" t="n">
        <f aca="false">ROUND(E249-I249,2)</f>
        <v>-0.01</v>
      </c>
    </row>
    <row r="250" customFormat="false" ht="15" hidden="false" customHeight="false" outlineLevel="0" collapsed="false">
      <c r="A250" s="0" t="s">
        <v>151</v>
      </c>
      <c r="B250" s="0" t="s">
        <v>119</v>
      </c>
      <c r="C250" s="0" t="s">
        <v>128</v>
      </c>
      <c r="D250" s="0" t="n">
        <v>160293568.73</v>
      </c>
      <c r="E250" s="0" t="n">
        <v>1239205.92</v>
      </c>
      <c r="F250" s="0" t="n">
        <v>0.0489</v>
      </c>
      <c r="G250" s="0" t="n">
        <v>0.0489</v>
      </c>
      <c r="H250" s="0" t="n">
        <v>0.0077308524</v>
      </c>
      <c r="I250" s="4" t="n">
        <f aca="false">ROUND(D250*H250,2)</f>
        <v>1239205.92</v>
      </c>
      <c r="J250" s="4" t="n">
        <f aca="false">ROUND(E250-I250,2)</f>
        <v>0</v>
      </c>
    </row>
    <row r="251" customFormat="false" ht="15" hidden="false" customHeight="false" outlineLevel="0" collapsed="false">
      <c r="A251" s="0" t="s">
        <v>151</v>
      </c>
      <c r="B251" s="0" t="s">
        <v>119</v>
      </c>
      <c r="C251" s="0" t="s">
        <v>129</v>
      </c>
      <c r="D251" s="0" t="n">
        <v>160526067.18</v>
      </c>
      <c r="E251" s="0" t="n">
        <v>1241003.33</v>
      </c>
      <c r="F251" s="0" t="n">
        <v>0.0489</v>
      </c>
      <c r="G251" s="0" t="n">
        <v>0.0489</v>
      </c>
      <c r="H251" s="0" t="n">
        <v>0.0077308524</v>
      </c>
      <c r="I251" s="4" t="n">
        <f aca="false">ROUND(D251*H251,2)</f>
        <v>1241003.33</v>
      </c>
      <c r="J251" s="4" t="n">
        <f aca="false">ROUND(E251-I251,2)</f>
        <v>0</v>
      </c>
    </row>
    <row r="252" customFormat="false" ht="15" hidden="false" customHeight="false" outlineLevel="0" collapsed="false">
      <c r="A252" s="0" t="s">
        <v>151</v>
      </c>
      <c r="B252" s="0" t="s">
        <v>119</v>
      </c>
      <c r="C252" s="0" t="s">
        <v>130</v>
      </c>
      <c r="D252" s="0" t="n">
        <v>160758201.14</v>
      </c>
      <c r="E252" s="0" t="n">
        <v>1242797.92</v>
      </c>
      <c r="F252" s="0" t="n">
        <v>0.0489</v>
      </c>
      <c r="G252" s="0" t="n">
        <v>0.0489</v>
      </c>
      <c r="H252" s="0" t="n">
        <v>0.0077308524</v>
      </c>
      <c r="I252" s="4" t="n">
        <f aca="false">ROUND(D252*H252,2)</f>
        <v>1242797.93</v>
      </c>
      <c r="J252" s="4" t="n">
        <f aca="false">ROUND(E252-I252,2)</f>
        <v>-0.01</v>
      </c>
    </row>
    <row r="253" customFormat="false" ht="15" hidden="false" customHeight="false" outlineLevel="0" collapsed="false">
      <c r="A253" s="0" t="s">
        <v>151</v>
      </c>
      <c r="B253" s="0" t="s">
        <v>119</v>
      </c>
      <c r="C253" s="0" t="s">
        <v>131</v>
      </c>
      <c r="D253" s="0" t="n">
        <v>161007985.14</v>
      </c>
      <c r="E253" s="0" t="n">
        <v>1244728.97</v>
      </c>
      <c r="F253" s="0" t="n">
        <v>0.0489</v>
      </c>
      <c r="G253" s="0" t="n">
        <v>0.0489</v>
      </c>
      <c r="H253" s="0" t="n">
        <v>0.0077308524</v>
      </c>
      <c r="I253" s="4" t="n">
        <f aca="false">ROUND(D253*H253,2)</f>
        <v>1244728.97</v>
      </c>
      <c r="J253" s="4" t="n">
        <f aca="false">ROUND(E253-I253,2)</f>
        <v>0</v>
      </c>
    </row>
    <row r="254" customFormat="false" ht="15" hidden="false" customHeight="false" outlineLevel="0" collapsed="false">
      <c r="A254" s="0" t="s">
        <v>152</v>
      </c>
      <c r="B254" s="0" t="s">
        <v>119</v>
      </c>
      <c r="C254" s="0" t="s">
        <v>120</v>
      </c>
      <c r="D254" s="0" t="n">
        <v>565251538.62</v>
      </c>
      <c r="E254" s="0" t="n">
        <v>4262430.92</v>
      </c>
      <c r="F254" s="0" t="n">
        <v>0.0466</v>
      </c>
      <c r="G254" s="0" t="n">
        <v>0.0466</v>
      </c>
      <c r="H254" s="0" t="n">
        <v>0.0075407684</v>
      </c>
      <c r="I254" s="4" t="n">
        <f aca="false">ROUND(D254*H254,2)</f>
        <v>4262430.94</v>
      </c>
      <c r="J254" s="4" t="n">
        <f aca="false">ROUND(E254-I254,2)</f>
        <v>-0.02</v>
      </c>
    </row>
    <row r="255" customFormat="false" ht="15" hidden="false" customHeight="false" outlineLevel="0" collapsed="false">
      <c r="A255" s="0" t="s">
        <v>152</v>
      </c>
      <c r="B255" s="0" t="s">
        <v>119</v>
      </c>
      <c r="C255" s="0" t="s">
        <v>121</v>
      </c>
      <c r="D255" s="0" t="n">
        <v>565514253.44</v>
      </c>
      <c r="E255" s="0" t="n">
        <v>4264411.99</v>
      </c>
      <c r="F255" s="0" t="n">
        <v>0.0466</v>
      </c>
      <c r="G255" s="0" t="n">
        <v>0.0466</v>
      </c>
      <c r="H255" s="0" t="n">
        <v>0.0075407684</v>
      </c>
      <c r="I255" s="4" t="n">
        <f aca="false">ROUND(D255*H255,2)</f>
        <v>4264412.01</v>
      </c>
      <c r="J255" s="4" t="n">
        <f aca="false">ROUND(E255-I255,2)</f>
        <v>-0.02</v>
      </c>
    </row>
    <row r="256" customFormat="false" ht="15" hidden="false" customHeight="false" outlineLevel="0" collapsed="false">
      <c r="A256" s="0" t="s">
        <v>152</v>
      </c>
      <c r="B256" s="0" t="s">
        <v>119</v>
      </c>
      <c r="C256" s="0" t="s">
        <v>122</v>
      </c>
      <c r="D256" s="0" t="n">
        <v>565738471.48</v>
      </c>
      <c r="E256" s="0" t="n">
        <v>4266102.77</v>
      </c>
      <c r="F256" s="0" t="n">
        <v>0.0466</v>
      </c>
      <c r="G256" s="0" t="n">
        <v>0.0466</v>
      </c>
      <c r="H256" s="0" t="n">
        <v>0.0075407684</v>
      </c>
      <c r="I256" s="4" t="n">
        <f aca="false">ROUND(D256*H256,2)</f>
        <v>4266102.79</v>
      </c>
      <c r="J256" s="4" t="n">
        <f aca="false">ROUND(E256-I256,2)</f>
        <v>-0.02</v>
      </c>
    </row>
    <row r="257" customFormat="false" ht="15" hidden="false" customHeight="false" outlineLevel="0" collapsed="false">
      <c r="A257" s="0" t="s">
        <v>152</v>
      </c>
      <c r="B257" s="0" t="s">
        <v>119</v>
      </c>
      <c r="C257" s="0" t="s">
        <v>123</v>
      </c>
      <c r="D257" s="0" t="n">
        <v>565978054.32</v>
      </c>
      <c r="E257" s="0" t="n">
        <v>4267909.41</v>
      </c>
      <c r="F257" s="0" t="n">
        <v>0.0466</v>
      </c>
      <c r="G257" s="0" t="n">
        <v>0.0466</v>
      </c>
      <c r="H257" s="0" t="n">
        <v>0.0075407684</v>
      </c>
      <c r="I257" s="4" t="n">
        <f aca="false">ROUND(D257*H257,2)</f>
        <v>4267909.43</v>
      </c>
      <c r="J257" s="4" t="n">
        <f aca="false">ROUND(E257-I257,2)</f>
        <v>-0.02</v>
      </c>
    </row>
    <row r="258" customFormat="false" ht="15" hidden="false" customHeight="false" outlineLevel="0" collapsed="false">
      <c r="A258" s="0" t="s">
        <v>152</v>
      </c>
      <c r="B258" s="0" t="s">
        <v>119</v>
      </c>
      <c r="C258" s="0" t="s">
        <v>124</v>
      </c>
      <c r="D258" s="0" t="n">
        <v>566223053.42</v>
      </c>
      <c r="E258" s="0" t="n">
        <v>4269756.89</v>
      </c>
      <c r="F258" s="0" t="n">
        <v>0.0466</v>
      </c>
      <c r="G258" s="0" t="n">
        <v>0.0466</v>
      </c>
      <c r="H258" s="0" t="n">
        <v>0.0075407684</v>
      </c>
      <c r="I258" s="4" t="n">
        <f aca="false">ROUND(D258*H258,2)</f>
        <v>4269756.91</v>
      </c>
      <c r="J258" s="4" t="n">
        <f aca="false">ROUND(E258-I258,2)</f>
        <v>-0.02</v>
      </c>
    </row>
    <row r="259" customFormat="false" ht="15" hidden="false" customHeight="false" outlineLevel="0" collapsed="false">
      <c r="A259" s="0" t="s">
        <v>152</v>
      </c>
      <c r="B259" s="0" t="s">
        <v>119</v>
      </c>
      <c r="C259" s="0" t="s">
        <v>125</v>
      </c>
      <c r="D259" s="0" t="n">
        <v>566482166.78</v>
      </c>
      <c r="E259" s="0" t="n">
        <v>4271710.81</v>
      </c>
      <c r="F259" s="0" t="n">
        <v>0.0466</v>
      </c>
      <c r="G259" s="0" t="n">
        <v>0.0466</v>
      </c>
      <c r="H259" s="0" t="n">
        <v>0.0075407684</v>
      </c>
      <c r="I259" s="4" t="n">
        <f aca="false">ROUND(D259*H259,2)</f>
        <v>4271710.82</v>
      </c>
      <c r="J259" s="4" t="n">
        <f aca="false">ROUND(E259-I259,2)</f>
        <v>-0.01</v>
      </c>
    </row>
    <row r="260" customFormat="false" ht="15" hidden="false" customHeight="false" outlineLevel="0" collapsed="false">
      <c r="A260" s="0" t="s">
        <v>152</v>
      </c>
      <c r="B260" s="0" t="s">
        <v>119</v>
      </c>
      <c r="C260" s="0" t="s">
        <v>126</v>
      </c>
      <c r="D260" s="0" t="n">
        <v>567013162.17</v>
      </c>
      <c r="E260" s="0" t="n">
        <v>4275714.92</v>
      </c>
      <c r="F260" s="0" t="n">
        <v>0.0466</v>
      </c>
      <c r="G260" s="0" t="n">
        <v>0.0466</v>
      </c>
      <c r="H260" s="0" t="n">
        <v>0.0075407684</v>
      </c>
      <c r="I260" s="4" t="n">
        <f aca="false">ROUND(D260*H260,2)</f>
        <v>4275714.94</v>
      </c>
      <c r="J260" s="4" t="n">
        <f aca="false">ROUND(E260-I260,2)</f>
        <v>-0.02</v>
      </c>
    </row>
    <row r="261" customFormat="false" ht="15" hidden="false" customHeight="false" outlineLevel="0" collapsed="false">
      <c r="A261" s="0" t="s">
        <v>152</v>
      </c>
      <c r="B261" s="0" t="s">
        <v>119</v>
      </c>
      <c r="C261" s="0" t="s">
        <v>127</v>
      </c>
      <c r="D261" s="0" t="n">
        <v>567512384.74</v>
      </c>
      <c r="E261" s="0" t="n">
        <v>4279479.44</v>
      </c>
      <c r="F261" s="0" t="n">
        <v>0.0466</v>
      </c>
      <c r="G261" s="0" t="n">
        <v>0.0466</v>
      </c>
      <c r="H261" s="0" t="n">
        <v>0.0075407684</v>
      </c>
      <c r="I261" s="4" t="n">
        <f aca="false">ROUND(D261*H261,2)</f>
        <v>4279479.46</v>
      </c>
      <c r="J261" s="4" t="n">
        <f aca="false">ROUND(E261-I261,2)</f>
        <v>-0.02</v>
      </c>
    </row>
    <row r="262" customFormat="false" ht="15" hidden="false" customHeight="false" outlineLevel="0" collapsed="false">
      <c r="A262" s="0" t="s">
        <v>152</v>
      </c>
      <c r="B262" s="0" t="s">
        <v>119</v>
      </c>
      <c r="C262" s="0" t="s">
        <v>128</v>
      </c>
      <c r="D262" s="0" t="n">
        <v>567778579.39</v>
      </c>
      <c r="E262" s="0" t="n">
        <v>4281486.75</v>
      </c>
      <c r="F262" s="0" t="n">
        <v>0.0466</v>
      </c>
      <c r="G262" s="0" t="n">
        <v>0.0466</v>
      </c>
      <c r="H262" s="0" t="n">
        <v>0.0075407684</v>
      </c>
      <c r="I262" s="4" t="n">
        <f aca="false">ROUND(D262*H262,2)</f>
        <v>4281486.77</v>
      </c>
      <c r="J262" s="4" t="n">
        <f aca="false">ROUND(E262-I262,2)</f>
        <v>-0.02</v>
      </c>
    </row>
    <row r="263" customFormat="false" ht="15" hidden="false" customHeight="false" outlineLevel="0" collapsed="false">
      <c r="A263" s="0" t="s">
        <v>152</v>
      </c>
      <c r="B263" s="0" t="s">
        <v>119</v>
      </c>
      <c r="C263" s="0" t="s">
        <v>129</v>
      </c>
      <c r="D263" s="0" t="n">
        <v>568101773.96</v>
      </c>
      <c r="E263" s="0" t="n">
        <v>4283923.89</v>
      </c>
      <c r="F263" s="0" t="n">
        <v>0.0466</v>
      </c>
      <c r="G263" s="0" t="n">
        <v>0.0466</v>
      </c>
      <c r="H263" s="0" t="n">
        <v>0.0075407684</v>
      </c>
      <c r="I263" s="4" t="n">
        <f aca="false">ROUND(D263*H263,2)</f>
        <v>4283923.91</v>
      </c>
      <c r="J263" s="4" t="n">
        <f aca="false">ROUND(E263-I263,2)</f>
        <v>-0.02</v>
      </c>
    </row>
    <row r="264" customFormat="false" ht="15" hidden="false" customHeight="false" outlineLevel="0" collapsed="false">
      <c r="A264" s="0" t="s">
        <v>152</v>
      </c>
      <c r="B264" s="0" t="s">
        <v>119</v>
      </c>
      <c r="C264" s="0" t="s">
        <v>130</v>
      </c>
      <c r="D264" s="0" t="n">
        <v>568483125.45</v>
      </c>
      <c r="E264" s="0" t="n">
        <v>4286799.57</v>
      </c>
      <c r="F264" s="0" t="n">
        <v>0.0466</v>
      </c>
      <c r="G264" s="0" t="n">
        <v>0.0466</v>
      </c>
      <c r="H264" s="0" t="n">
        <v>0.0075407684</v>
      </c>
      <c r="I264" s="4" t="n">
        <f aca="false">ROUND(D264*H264,2)</f>
        <v>4286799.59</v>
      </c>
      <c r="J264" s="4" t="n">
        <f aca="false">ROUND(E264-I264,2)</f>
        <v>-0.02</v>
      </c>
    </row>
    <row r="265" customFormat="false" ht="15" hidden="false" customHeight="false" outlineLevel="0" collapsed="false">
      <c r="A265" s="0" t="s">
        <v>152</v>
      </c>
      <c r="B265" s="0" t="s">
        <v>119</v>
      </c>
      <c r="C265" s="0" t="s">
        <v>131</v>
      </c>
      <c r="D265" s="0" t="n">
        <v>568899297.28</v>
      </c>
      <c r="E265" s="0" t="n">
        <v>4289937.83</v>
      </c>
      <c r="F265" s="0" t="n">
        <v>0.0466</v>
      </c>
      <c r="G265" s="0" t="n">
        <v>0.0466</v>
      </c>
      <c r="H265" s="0" t="n">
        <v>0.0075407684</v>
      </c>
      <c r="I265" s="4" t="n">
        <f aca="false">ROUND(D265*H265,2)</f>
        <v>4289937.84</v>
      </c>
      <c r="J265" s="4" t="n">
        <f aca="false">ROUND(E265-I265,2)</f>
        <v>-0.01</v>
      </c>
    </row>
    <row r="266" customFormat="false" ht="15" hidden="false" customHeight="false" outlineLevel="0" collapsed="false">
      <c r="A266" s="0" t="s">
        <v>153</v>
      </c>
      <c r="B266" s="0" t="s">
        <v>119</v>
      </c>
      <c r="C266" s="0" t="s">
        <v>120</v>
      </c>
      <c r="D266" s="0" t="n">
        <v>206424696.81</v>
      </c>
      <c r="E266" s="0" t="n">
        <v>2203241.37</v>
      </c>
      <c r="F266" s="0" t="n">
        <v>0.0851</v>
      </c>
      <c r="G266" s="0" t="n">
        <v>0.0851</v>
      </c>
      <c r="H266" s="0" t="n">
        <v>0.0106733419</v>
      </c>
      <c r="I266" s="4" t="n">
        <f aca="false">ROUND(D266*H266,2)</f>
        <v>2203241.37</v>
      </c>
      <c r="J266" s="4" t="n">
        <f aca="false">ROUND(E266-I266,2)</f>
        <v>0</v>
      </c>
    </row>
    <row r="267" customFormat="false" ht="15" hidden="false" customHeight="false" outlineLevel="0" collapsed="false">
      <c r="A267" s="0" t="s">
        <v>153</v>
      </c>
      <c r="B267" s="0" t="s">
        <v>119</v>
      </c>
      <c r="C267" s="0" t="s">
        <v>121</v>
      </c>
      <c r="D267" s="0" t="n">
        <v>206572601.44</v>
      </c>
      <c r="E267" s="0" t="n">
        <v>2204820</v>
      </c>
      <c r="F267" s="0" t="n">
        <v>0.0851</v>
      </c>
      <c r="G267" s="0" t="n">
        <v>0.0851</v>
      </c>
      <c r="H267" s="0" t="n">
        <v>0.0106733419</v>
      </c>
      <c r="I267" s="4" t="n">
        <f aca="false">ROUND(D267*H267,2)</f>
        <v>2204820</v>
      </c>
      <c r="J267" s="4" t="n">
        <f aca="false">ROUND(E267-I267,2)</f>
        <v>0</v>
      </c>
    </row>
    <row r="268" customFormat="false" ht="15" hidden="false" customHeight="false" outlineLevel="0" collapsed="false">
      <c r="A268" s="0" t="s">
        <v>153</v>
      </c>
      <c r="B268" s="0" t="s">
        <v>119</v>
      </c>
      <c r="C268" s="0" t="s">
        <v>122</v>
      </c>
      <c r="D268" s="0" t="n">
        <v>206735975.62</v>
      </c>
      <c r="E268" s="0" t="n">
        <v>2206563.75</v>
      </c>
      <c r="F268" s="0" t="n">
        <v>0.0851</v>
      </c>
      <c r="G268" s="0" t="n">
        <v>0.0851</v>
      </c>
      <c r="H268" s="0" t="n">
        <v>0.0106733419</v>
      </c>
      <c r="I268" s="4" t="n">
        <f aca="false">ROUND(D268*H268,2)</f>
        <v>2206563.75</v>
      </c>
      <c r="J268" s="4" t="n">
        <f aca="false">ROUND(E268-I268,2)</f>
        <v>0</v>
      </c>
    </row>
    <row r="269" customFormat="false" ht="15" hidden="false" customHeight="false" outlineLevel="0" collapsed="false">
      <c r="A269" s="0" t="s">
        <v>153</v>
      </c>
      <c r="B269" s="0" t="s">
        <v>119</v>
      </c>
      <c r="C269" s="0" t="s">
        <v>123</v>
      </c>
      <c r="D269" s="0" t="n">
        <v>206857256.7</v>
      </c>
      <c r="E269" s="0" t="n">
        <v>2207858.23</v>
      </c>
      <c r="F269" s="0" t="n">
        <v>0.0851</v>
      </c>
      <c r="G269" s="0" t="n">
        <v>0.0851</v>
      </c>
      <c r="H269" s="0" t="n">
        <v>0.0106733419</v>
      </c>
      <c r="I269" s="4" t="n">
        <f aca="false">ROUND(D269*H269,2)</f>
        <v>2207858.23</v>
      </c>
      <c r="J269" s="4" t="n">
        <f aca="false">ROUND(E269-I269,2)</f>
        <v>0</v>
      </c>
    </row>
    <row r="270" customFormat="false" ht="15" hidden="false" customHeight="false" outlineLevel="0" collapsed="false">
      <c r="A270" s="0" t="s">
        <v>153</v>
      </c>
      <c r="B270" s="0" t="s">
        <v>119</v>
      </c>
      <c r="C270" s="0" t="s">
        <v>124</v>
      </c>
      <c r="D270" s="0" t="n">
        <v>207083213.8</v>
      </c>
      <c r="E270" s="0" t="n">
        <v>2210269.94</v>
      </c>
      <c r="F270" s="0" t="n">
        <v>0.0851</v>
      </c>
      <c r="G270" s="0" t="n">
        <v>0.0851</v>
      </c>
      <c r="H270" s="0" t="n">
        <v>0.0106733419</v>
      </c>
      <c r="I270" s="4" t="n">
        <f aca="false">ROUND(D270*H270,2)</f>
        <v>2210269.94</v>
      </c>
      <c r="J270" s="4" t="n">
        <f aca="false">ROUND(E270-I270,2)</f>
        <v>0</v>
      </c>
    </row>
    <row r="271" customFormat="false" ht="15" hidden="false" customHeight="false" outlineLevel="0" collapsed="false">
      <c r="A271" s="0" t="s">
        <v>153</v>
      </c>
      <c r="B271" s="0" t="s">
        <v>119</v>
      </c>
      <c r="C271" s="0" t="s">
        <v>125</v>
      </c>
      <c r="D271" s="0" t="n">
        <v>207333387.96</v>
      </c>
      <c r="E271" s="0" t="n">
        <v>2212940.14</v>
      </c>
      <c r="F271" s="0" t="n">
        <v>0.0851</v>
      </c>
      <c r="G271" s="0" t="n">
        <v>0.0851</v>
      </c>
      <c r="H271" s="0" t="n">
        <v>0.0106733419</v>
      </c>
      <c r="I271" s="4" t="n">
        <f aca="false">ROUND(D271*H271,2)</f>
        <v>2212940.14</v>
      </c>
      <c r="J271" s="4" t="n">
        <f aca="false">ROUND(E271-I271,2)</f>
        <v>0</v>
      </c>
    </row>
    <row r="272" customFormat="false" ht="15" hidden="false" customHeight="false" outlineLevel="0" collapsed="false">
      <c r="A272" s="0" t="s">
        <v>153</v>
      </c>
      <c r="B272" s="0" t="s">
        <v>119</v>
      </c>
      <c r="C272" s="0" t="s">
        <v>126</v>
      </c>
      <c r="D272" s="0" t="n">
        <v>207688400.86</v>
      </c>
      <c r="E272" s="0" t="n">
        <v>2216729.31</v>
      </c>
      <c r="F272" s="0" t="n">
        <v>0.0851</v>
      </c>
      <c r="G272" s="0" t="n">
        <v>0.0851</v>
      </c>
      <c r="H272" s="0" t="n">
        <v>0.0106733419</v>
      </c>
      <c r="I272" s="4" t="n">
        <f aca="false">ROUND(D272*H272,2)</f>
        <v>2216729.31</v>
      </c>
      <c r="J272" s="4" t="n">
        <f aca="false">ROUND(E272-I272,2)</f>
        <v>0</v>
      </c>
    </row>
    <row r="273" customFormat="false" ht="15" hidden="false" customHeight="false" outlineLevel="0" collapsed="false">
      <c r="A273" s="0" t="s">
        <v>153</v>
      </c>
      <c r="B273" s="0" t="s">
        <v>119</v>
      </c>
      <c r="C273" s="0" t="s">
        <v>127</v>
      </c>
      <c r="D273" s="0" t="n">
        <v>208094922.2</v>
      </c>
      <c r="E273" s="0" t="n">
        <v>2221068.25</v>
      </c>
      <c r="F273" s="0" t="n">
        <v>0.0851</v>
      </c>
      <c r="G273" s="0" t="n">
        <v>0.0851</v>
      </c>
      <c r="H273" s="0" t="n">
        <v>0.0106733419</v>
      </c>
      <c r="I273" s="4" t="n">
        <f aca="false">ROUND(D273*H273,2)</f>
        <v>2221068.25</v>
      </c>
      <c r="J273" s="4" t="n">
        <f aca="false">ROUND(E273-I273,2)</f>
        <v>0</v>
      </c>
    </row>
    <row r="274" customFormat="false" ht="15" hidden="false" customHeight="false" outlineLevel="0" collapsed="false">
      <c r="A274" s="0" t="s">
        <v>153</v>
      </c>
      <c r="B274" s="0" t="s">
        <v>119</v>
      </c>
      <c r="C274" s="0" t="s">
        <v>128</v>
      </c>
      <c r="D274" s="0" t="n">
        <v>208451931.32</v>
      </c>
      <c r="E274" s="0" t="n">
        <v>2224878.73</v>
      </c>
      <c r="F274" s="0" t="n">
        <v>0.0851</v>
      </c>
      <c r="G274" s="0" t="n">
        <v>0.0851</v>
      </c>
      <c r="H274" s="0" t="n">
        <v>0.0106733419</v>
      </c>
      <c r="I274" s="4" t="n">
        <f aca="false">ROUND(D274*H274,2)</f>
        <v>2224878.73</v>
      </c>
      <c r="J274" s="4" t="n">
        <f aca="false">ROUND(E274-I274,2)</f>
        <v>0</v>
      </c>
    </row>
    <row r="275" customFormat="false" ht="15" hidden="false" customHeight="false" outlineLevel="0" collapsed="false">
      <c r="A275" s="0" t="s">
        <v>153</v>
      </c>
      <c r="B275" s="0" t="s">
        <v>119</v>
      </c>
      <c r="C275" s="0" t="s">
        <v>129</v>
      </c>
      <c r="D275" s="0" t="n">
        <v>208817772.7</v>
      </c>
      <c r="E275" s="0" t="n">
        <v>2228783.48</v>
      </c>
      <c r="F275" s="0" t="n">
        <v>0.0851</v>
      </c>
      <c r="G275" s="0" t="n">
        <v>0.0851</v>
      </c>
      <c r="H275" s="0" t="n">
        <v>0.0106733419</v>
      </c>
      <c r="I275" s="4" t="n">
        <f aca="false">ROUND(D275*H275,2)</f>
        <v>2228783.48</v>
      </c>
      <c r="J275" s="4" t="n">
        <f aca="false">ROUND(E275-I275,2)</f>
        <v>0</v>
      </c>
    </row>
    <row r="276" customFormat="false" ht="15" hidden="false" customHeight="false" outlineLevel="0" collapsed="false">
      <c r="A276" s="0" t="s">
        <v>153</v>
      </c>
      <c r="B276" s="0" t="s">
        <v>119</v>
      </c>
      <c r="C276" s="0" t="s">
        <v>130</v>
      </c>
      <c r="D276" s="0" t="n">
        <v>209040391.48</v>
      </c>
      <c r="E276" s="0" t="n">
        <v>2231159.57</v>
      </c>
      <c r="F276" s="0" t="n">
        <v>0.0851</v>
      </c>
      <c r="G276" s="0" t="n">
        <v>0.0851</v>
      </c>
      <c r="H276" s="0" t="n">
        <v>0.0106733419</v>
      </c>
      <c r="I276" s="4" t="n">
        <f aca="false">ROUND(D276*H276,2)</f>
        <v>2231159.57</v>
      </c>
      <c r="J276" s="4" t="n">
        <f aca="false">ROUND(E276-I276,2)</f>
        <v>0</v>
      </c>
    </row>
    <row r="277" customFormat="false" ht="15" hidden="false" customHeight="false" outlineLevel="0" collapsed="false">
      <c r="A277" s="0" t="s">
        <v>153</v>
      </c>
      <c r="B277" s="0" t="s">
        <v>119</v>
      </c>
      <c r="C277" s="0" t="s">
        <v>131</v>
      </c>
      <c r="D277" s="0" t="n">
        <v>209248668.9</v>
      </c>
      <c r="E277" s="0" t="n">
        <v>2233382.59</v>
      </c>
      <c r="F277" s="0" t="n">
        <v>0.0851</v>
      </c>
      <c r="G277" s="0" t="n">
        <v>0.0851</v>
      </c>
      <c r="H277" s="0" t="n">
        <v>0.0106733419</v>
      </c>
      <c r="I277" s="4" t="n">
        <f aca="false">ROUND(D277*H277,2)</f>
        <v>2233382.59</v>
      </c>
      <c r="J277" s="4" t="n">
        <f aca="false">ROUND(E277-I277,2)</f>
        <v>0</v>
      </c>
    </row>
    <row r="278" customFormat="false" ht="15" hidden="false" customHeight="false" outlineLevel="0" collapsed="false">
      <c r="A278" s="0" t="s">
        <v>154</v>
      </c>
      <c r="B278" s="0" t="s">
        <v>119</v>
      </c>
      <c r="C278" s="0" t="s">
        <v>120</v>
      </c>
      <c r="D278" s="0" t="n">
        <v>614441199.72</v>
      </c>
      <c r="E278" s="0" t="n">
        <v>5676156.55</v>
      </c>
      <c r="F278" s="0" t="n">
        <v>0.0673</v>
      </c>
      <c r="G278" s="0" t="n">
        <v>0.0673</v>
      </c>
      <c r="H278" s="0" t="n">
        <v>0.0092379166</v>
      </c>
      <c r="I278" s="4" t="n">
        <f aca="false">ROUND(D278*H278,2)</f>
        <v>5676156.56</v>
      </c>
      <c r="J278" s="4" t="n">
        <f aca="false">ROUND(E278-I278,2)</f>
        <v>-0.01</v>
      </c>
    </row>
    <row r="279" customFormat="false" ht="15" hidden="false" customHeight="false" outlineLevel="0" collapsed="false">
      <c r="A279" s="0" t="s">
        <v>154</v>
      </c>
      <c r="B279" s="0" t="s">
        <v>119</v>
      </c>
      <c r="C279" s="0" t="s">
        <v>121</v>
      </c>
      <c r="D279" s="0" t="n">
        <v>615721838.46</v>
      </c>
      <c r="E279" s="0" t="n">
        <v>5687986.99</v>
      </c>
      <c r="F279" s="0" t="n">
        <v>0.0673</v>
      </c>
      <c r="G279" s="0" t="n">
        <v>0.0673</v>
      </c>
      <c r="H279" s="0" t="n">
        <v>0.0092379166</v>
      </c>
      <c r="I279" s="4" t="n">
        <f aca="false">ROUND(D279*H279,2)</f>
        <v>5687986.99</v>
      </c>
      <c r="J279" s="4" t="n">
        <f aca="false">ROUND(E279-I279,2)</f>
        <v>0</v>
      </c>
    </row>
    <row r="280" customFormat="false" ht="15" hidden="false" customHeight="false" outlineLevel="0" collapsed="false">
      <c r="A280" s="0" t="s">
        <v>154</v>
      </c>
      <c r="B280" s="0" t="s">
        <v>119</v>
      </c>
      <c r="C280" s="0" t="s">
        <v>122</v>
      </c>
      <c r="D280" s="0" t="n">
        <v>616565668.41</v>
      </c>
      <c r="E280" s="0" t="n">
        <v>5695782.22</v>
      </c>
      <c r="F280" s="0" t="n">
        <v>0.0673</v>
      </c>
      <c r="G280" s="0" t="n">
        <v>0.0673</v>
      </c>
      <c r="H280" s="0" t="n">
        <v>0.0092379166</v>
      </c>
      <c r="I280" s="4" t="n">
        <f aca="false">ROUND(D280*H280,2)</f>
        <v>5695782.22</v>
      </c>
      <c r="J280" s="4" t="n">
        <f aca="false">ROUND(E280-I280,2)</f>
        <v>0</v>
      </c>
    </row>
    <row r="281" customFormat="false" ht="15" hidden="false" customHeight="false" outlineLevel="0" collapsed="false">
      <c r="A281" s="0" t="s">
        <v>154</v>
      </c>
      <c r="B281" s="0" t="s">
        <v>119</v>
      </c>
      <c r="C281" s="0" t="s">
        <v>123</v>
      </c>
      <c r="D281" s="0" t="n">
        <v>617038853.88</v>
      </c>
      <c r="E281" s="0" t="n">
        <v>5700153.47</v>
      </c>
      <c r="F281" s="0" t="n">
        <v>0.0673</v>
      </c>
      <c r="G281" s="0" t="n">
        <v>0.0673</v>
      </c>
      <c r="H281" s="0" t="n">
        <v>0.0092379166</v>
      </c>
      <c r="I281" s="4" t="n">
        <f aca="false">ROUND(D281*H281,2)</f>
        <v>5700153.47</v>
      </c>
      <c r="J281" s="4" t="n">
        <f aca="false">ROUND(E281-I281,2)</f>
        <v>0</v>
      </c>
    </row>
    <row r="282" customFormat="false" ht="15" hidden="false" customHeight="false" outlineLevel="0" collapsed="false">
      <c r="A282" s="0" t="s">
        <v>154</v>
      </c>
      <c r="B282" s="0" t="s">
        <v>119</v>
      </c>
      <c r="C282" s="0" t="s">
        <v>124</v>
      </c>
      <c r="D282" s="0" t="n">
        <v>617495826.92</v>
      </c>
      <c r="E282" s="0" t="n">
        <v>5704374.94</v>
      </c>
      <c r="F282" s="0" t="n">
        <v>0.0673</v>
      </c>
      <c r="G282" s="0" t="n">
        <v>0.0673</v>
      </c>
      <c r="H282" s="0" t="n">
        <v>0.0092379166</v>
      </c>
      <c r="I282" s="4" t="n">
        <f aca="false">ROUND(D282*H282,2)</f>
        <v>5704374.95</v>
      </c>
      <c r="J282" s="4" t="n">
        <f aca="false">ROUND(E282-I282,2)</f>
        <v>-0.01</v>
      </c>
    </row>
    <row r="283" customFormat="false" ht="15" hidden="false" customHeight="false" outlineLevel="0" collapsed="false">
      <c r="A283" s="0" t="s">
        <v>154</v>
      </c>
      <c r="B283" s="0" t="s">
        <v>119</v>
      </c>
      <c r="C283" s="0" t="s">
        <v>125</v>
      </c>
      <c r="D283" s="0" t="n">
        <v>617818982.92</v>
      </c>
      <c r="E283" s="0" t="n">
        <v>5707360.23</v>
      </c>
      <c r="F283" s="0" t="n">
        <v>0.0673</v>
      </c>
      <c r="G283" s="0" t="n">
        <v>0.0673</v>
      </c>
      <c r="H283" s="0" t="n">
        <v>0.0092379166</v>
      </c>
      <c r="I283" s="4" t="n">
        <f aca="false">ROUND(D283*H283,2)</f>
        <v>5707360.24</v>
      </c>
      <c r="J283" s="4" t="n">
        <f aca="false">ROUND(E283-I283,2)</f>
        <v>-0.01</v>
      </c>
    </row>
    <row r="284" customFormat="false" ht="15" hidden="false" customHeight="false" outlineLevel="0" collapsed="false">
      <c r="A284" s="0" t="s">
        <v>154</v>
      </c>
      <c r="B284" s="0" t="s">
        <v>119</v>
      </c>
      <c r="C284" s="0" t="s">
        <v>126</v>
      </c>
      <c r="D284" s="0" t="n">
        <v>618399710.64</v>
      </c>
      <c r="E284" s="0" t="n">
        <v>5712724.95</v>
      </c>
      <c r="F284" s="0" t="n">
        <v>0.0673</v>
      </c>
      <c r="G284" s="0" t="n">
        <v>0.0673</v>
      </c>
      <c r="H284" s="0" t="n">
        <v>0.0092379166</v>
      </c>
      <c r="I284" s="4" t="n">
        <f aca="false">ROUND(D284*H284,2)</f>
        <v>5712724.95</v>
      </c>
      <c r="J284" s="4" t="n">
        <f aca="false">ROUND(E284-I284,2)</f>
        <v>0</v>
      </c>
    </row>
    <row r="285" customFormat="false" ht="15" hidden="false" customHeight="false" outlineLevel="0" collapsed="false">
      <c r="A285" s="0" t="s">
        <v>154</v>
      </c>
      <c r="B285" s="0" t="s">
        <v>119</v>
      </c>
      <c r="C285" s="0" t="s">
        <v>127</v>
      </c>
      <c r="D285" s="0" t="n">
        <v>618913014.16</v>
      </c>
      <c r="E285" s="0" t="n">
        <v>5717466.8</v>
      </c>
      <c r="F285" s="0" t="n">
        <v>0.0673</v>
      </c>
      <c r="G285" s="0" t="n">
        <v>0.0673</v>
      </c>
      <c r="H285" s="0" t="n">
        <v>0.0092379166</v>
      </c>
      <c r="I285" s="4" t="n">
        <f aca="false">ROUND(D285*H285,2)</f>
        <v>5717466.81</v>
      </c>
      <c r="J285" s="4" t="n">
        <f aca="false">ROUND(E285-I285,2)</f>
        <v>-0.01</v>
      </c>
    </row>
    <row r="286" customFormat="false" ht="15" hidden="false" customHeight="false" outlineLevel="0" collapsed="false">
      <c r="A286" s="0" t="s">
        <v>154</v>
      </c>
      <c r="B286" s="0" t="s">
        <v>119</v>
      </c>
      <c r="C286" s="0" t="s">
        <v>128</v>
      </c>
      <c r="D286" s="0" t="n">
        <v>619250629.92</v>
      </c>
      <c r="E286" s="0" t="n">
        <v>5720585.67</v>
      </c>
      <c r="F286" s="0" t="n">
        <v>0.0673</v>
      </c>
      <c r="G286" s="0" t="n">
        <v>0.0673</v>
      </c>
      <c r="H286" s="0" t="n">
        <v>0.0092379166</v>
      </c>
      <c r="I286" s="4" t="n">
        <f aca="false">ROUND(D286*H286,2)</f>
        <v>5720585.67</v>
      </c>
      <c r="J286" s="4" t="n">
        <f aca="false">ROUND(E286-I286,2)</f>
        <v>0</v>
      </c>
    </row>
    <row r="287" customFormat="false" ht="15" hidden="false" customHeight="false" outlineLevel="0" collapsed="false">
      <c r="A287" s="0" t="s">
        <v>154</v>
      </c>
      <c r="B287" s="0" t="s">
        <v>119</v>
      </c>
      <c r="C287" s="0" t="s">
        <v>129</v>
      </c>
      <c r="D287" s="0" t="n">
        <v>619790559.12</v>
      </c>
      <c r="E287" s="0" t="n">
        <v>5725573.49</v>
      </c>
      <c r="F287" s="0" t="n">
        <v>0.0673</v>
      </c>
      <c r="G287" s="0" t="n">
        <v>0.0673</v>
      </c>
      <c r="H287" s="0" t="n">
        <v>0.0092379166</v>
      </c>
      <c r="I287" s="4" t="n">
        <f aca="false">ROUND(D287*H287,2)</f>
        <v>5725573.49</v>
      </c>
      <c r="J287" s="4" t="n">
        <f aca="false">ROUND(E287-I287,2)</f>
        <v>0</v>
      </c>
    </row>
    <row r="288" customFormat="false" ht="15" hidden="false" customHeight="false" outlineLevel="0" collapsed="false">
      <c r="A288" s="0" t="s">
        <v>154</v>
      </c>
      <c r="B288" s="0" t="s">
        <v>119</v>
      </c>
      <c r="C288" s="0" t="s">
        <v>130</v>
      </c>
      <c r="D288" s="0" t="n">
        <v>620430682.2</v>
      </c>
      <c r="E288" s="0" t="n">
        <v>5731486.89</v>
      </c>
      <c r="F288" s="0" t="n">
        <v>0.0673</v>
      </c>
      <c r="G288" s="0" t="n">
        <v>0.0673</v>
      </c>
      <c r="H288" s="0" t="n">
        <v>0.0092379166</v>
      </c>
      <c r="I288" s="4" t="n">
        <f aca="false">ROUND(D288*H288,2)</f>
        <v>5731486.9</v>
      </c>
      <c r="J288" s="4" t="n">
        <f aca="false">ROUND(E288-I288,2)</f>
        <v>-0.01</v>
      </c>
    </row>
    <row r="289" customFormat="false" ht="15" hidden="false" customHeight="false" outlineLevel="0" collapsed="false">
      <c r="A289" s="0" t="s">
        <v>154</v>
      </c>
      <c r="B289" s="0" t="s">
        <v>119</v>
      </c>
      <c r="C289" s="0" t="s">
        <v>131</v>
      </c>
      <c r="D289" s="0" t="n">
        <v>621050469.24</v>
      </c>
      <c r="E289" s="0" t="n">
        <v>5737212.43</v>
      </c>
      <c r="F289" s="0" t="n">
        <v>0.0673</v>
      </c>
      <c r="G289" s="0" t="n">
        <v>0.0673</v>
      </c>
      <c r="H289" s="0" t="n">
        <v>0.0092379166</v>
      </c>
      <c r="I289" s="4" t="n">
        <f aca="false">ROUND(D289*H289,2)</f>
        <v>5737212.44</v>
      </c>
      <c r="J289" s="4" t="n">
        <f aca="false">ROUND(E289-I289,2)</f>
        <v>-0.01</v>
      </c>
    </row>
    <row r="290" customFormat="false" ht="15" hidden="false" customHeight="false" outlineLevel="0" collapsed="false">
      <c r="A290" s="0" t="s">
        <v>155</v>
      </c>
      <c r="B290" s="0" t="s">
        <v>119</v>
      </c>
      <c r="C290" s="0" t="s">
        <v>120</v>
      </c>
      <c r="D290" s="0" t="n">
        <v>139545830.65</v>
      </c>
      <c r="E290" s="0" t="n">
        <v>1549592.47</v>
      </c>
      <c r="F290" s="0" t="n">
        <v>0.0905</v>
      </c>
      <c r="G290" s="0" t="n">
        <v>0.0905</v>
      </c>
      <c r="H290" s="0" t="n">
        <v>0.0111045415</v>
      </c>
      <c r="I290" s="4" t="n">
        <f aca="false">ROUND(D290*H290,2)</f>
        <v>1549592.47</v>
      </c>
      <c r="J290" s="4" t="n">
        <f aca="false">ROUND(E290-I290,2)</f>
        <v>0</v>
      </c>
    </row>
    <row r="291" customFormat="false" ht="15" hidden="false" customHeight="false" outlineLevel="0" collapsed="false">
      <c r="A291" s="0" t="s">
        <v>155</v>
      </c>
      <c r="B291" s="0" t="s">
        <v>119</v>
      </c>
      <c r="C291" s="0" t="s">
        <v>121</v>
      </c>
      <c r="D291" s="0" t="n">
        <v>139545830.65</v>
      </c>
      <c r="E291" s="0" t="n">
        <v>1549592.47</v>
      </c>
      <c r="F291" s="0" t="n">
        <v>0.0905</v>
      </c>
      <c r="G291" s="0" t="n">
        <v>0.0905</v>
      </c>
      <c r="H291" s="0" t="n">
        <v>0.0111045415</v>
      </c>
      <c r="I291" s="4" t="n">
        <f aca="false">ROUND(D291*H291,2)</f>
        <v>1549592.47</v>
      </c>
      <c r="J291" s="4" t="n">
        <f aca="false">ROUND(E291-I291,2)</f>
        <v>0</v>
      </c>
    </row>
    <row r="292" customFormat="false" ht="15" hidden="false" customHeight="false" outlineLevel="0" collapsed="false">
      <c r="A292" s="0" t="s">
        <v>155</v>
      </c>
      <c r="B292" s="0" t="s">
        <v>119</v>
      </c>
      <c r="C292" s="0" t="s">
        <v>122</v>
      </c>
      <c r="D292" s="0" t="n">
        <v>139545830.65</v>
      </c>
      <c r="E292" s="0" t="n">
        <v>1549592.47</v>
      </c>
      <c r="F292" s="0" t="n">
        <v>0.0905</v>
      </c>
      <c r="G292" s="0" t="n">
        <v>0.0905</v>
      </c>
      <c r="H292" s="0" t="n">
        <v>0.0111045415</v>
      </c>
      <c r="I292" s="4" t="n">
        <f aca="false">ROUND(D292*H292,2)</f>
        <v>1549592.47</v>
      </c>
      <c r="J292" s="4" t="n">
        <f aca="false">ROUND(E292-I292,2)</f>
        <v>0</v>
      </c>
    </row>
    <row r="293" customFormat="false" ht="15" hidden="false" customHeight="false" outlineLevel="0" collapsed="false">
      <c r="A293" s="0" t="s">
        <v>155</v>
      </c>
      <c r="B293" s="0" t="s">
        <v>119</v>
      </c>
      <c r="C293" s="0" t="s">
        <v>123</v>
      </c>
      <c r="D293" s="0" t="n">
        <v>139545830.65</v>
      </c>
      <c r="E293" s="0" t="n">
        <v>1549592.47</v>
      </c>
      <c r="F293" s="0" t="n">
        <v>0.0905</v>
      </c>
      <c r="G293" s="0" t="n">
        <v>0.0905</v>
      </c>
      <c r="H293" s="0" t="n">
        <v>0.0111045415</v>
      </c>
      <c r="I293" s="4" t="n">
        <f aca="false">ROUND(D293*H293,2)</f>
        <v>1549592.47</v>
      </c>
      <c r="J293" s="4" t="n">
        <f aca="false">ROUND(E293-I293,2)</f>
        <v>0</v>
      </c>
    </row>
    <row r="294" customFormat="false" ht="15" hidden="false" customHeight="false" outlineLevel="0" collapsed="false">
      <c r="A294" s="0" t="s">
        <v>155</v>
      </c>
      <c r="B294" s="0" t="s">
        <v>119</v>
      </c>
      <c r="C294" s="0" t="s">
        <v>124</v>
      </c>
      <c r="D294" s="0" t="n">
        <v>139545830.65</v>
      </c>
      <c r="E294" s="0" t="n">
        <v>1549592.47</v>
      </c>
      <c r="F294" s="0" t="n">
        <v>0.0905</v>
      </c>
      <c r="G294" s="0" t="n">
        <v>0.0905</v>
      </c>
      <c r="H294" s="0" t="n">
        <v>0.0111045415</v>
      </c>
      <c r="I294" s="4" t="n">
        <f aca="false">ROUND(D294*H294,2)</f>
        <v>1549592.47</v>
      </c>
      <c r="J294" s="4" t="n">
        <f aca="false">ROUND(E294-I294,2)</f>
        <v>0</v>
      </c>
    </row>
    <row r="295" customFormat="false" ht="15" hidden="false" customHeight="false" outlineLevel="0" collapsed="false">
      <c r="A295" s="0" t="s">
        <v>155</v>
      </c>
      <c r="B295" s="0" t="s">
        <v>119</v>
      </c>
      <c r="C295" s="0" t="s">
        <v>125</v>
      </c>
      <c r="D295" s="0" t="n">
        <v>139545830.65</v>
      </c>
      <c r="E295" s="0" t="n">
        <v>1549592.47</v>
      </c>
      <c r="F295" s="0" t="n">
        <v>0.0905</v>
      </c>
      <c r="G295" s="0" t="n">
        <v>0.0905</v>
      </c>
      <c r="H295" s="0" t="n">
        <v>0.0111045415</v>
      </c>
      <c r="I295" s="4" t="n">
        <f aca="false">ROUND(D295*H295,2)</f>
        <v>1549592.47</v>
      </c>
      <c r="J295" s="4" t="n">
        <f aca="false">ROUND(E295-I295,2)</f>
        <v>0</v>
      </c>
    </row>
    <row r="296" customFormat="false" ht="15" hidden="false" customHeight="false" outlineLevel="0" collapsed="false">
      <c r="A296" s="0" t="s">
        <v>155</v>
      </c>
      <c r="B296" s="0" t="s">
        <v>119</v>
      </c>
      <c r="C296" s="0" t="s">
        <v>126</v>
      </c>
      <c r="D296" s="0" t="n">
        <v>139545830.65</v>
      </c>
      <c r="E296" s="0" t="n">
        <v>1549592.47</v>
      </c>
      <c r="F296" s="0" t="n">
        <v>0.0905</v>
      </c>
      <c r="G296" s="0" t="n">
        <v>0.0905</v>
      </c>
      <c r="H296" s="0" t="n">
        <v>0.0111045415</v>
      </c>
      <c r="I296" s="4" t="n">
        <f aca="false">ROUND(D296*H296,2)</f>
        <v>1549592.47</v>
      </c>
      <c r="J296" s="4" t="n">
        <f aca="false">ROUND(E296-I296,2)</f>
        <v>0</v>
      </c>
    </row>
    <row r="297" customFormat="false" ht="15" hidden="false" customHeight="false" outlineLevel="0" collapsed="false">
      <c r="A297" s="0" t="s">
        <v>155</v>
      </c>
      <c r="B297" s="0" t="s">
        <v>119</v>
      </c>
      <c r="C297" s="0" t="s">
        <v>127</v>
      </c>
      <c r="D297" s="0" t="n">
        <v>139545830.65</v>
      </c>
      <c r="E297" s="0" t="n">
        <v>1549592.47</v>
      </c>
      <c r="F297" s="0" t="n">
        <v>0.0905</v>
      </c>
      <c r="G297" s="0" t="n">
        <v>0.0905</v>
      </c>
      <c r="H297" s="0" t="n">
        <v>0.0111045415</v>
      </c>
      <c r="I297" s="4" t="n">
        <f aca="false">ROUND(D297*H297,2)</f>
        <v>1549592.47</v>
      </c>
      <c r="J297" s="4" t="n">
        <f aca="false">ROUND(E297-I297,2)</f>
        <v>0</v>
      </c>
    </row>
    <row r="298" customFormat="false" ht="15" hidden="false" customHeight="false" outlineLevel="0" collapsed="false">
      <c r="A298" s="0" t="s">
        <v>155</v>
      </c>
      <c r="B298" s="0" t="s">
        <v>119</v>
      </c>
      <c r="C298" s="0" t="s">
        <v>128</v>
      </c>
      <c r="D298" s="0" t="n">
        <v>139545830.65</v>
      </c>
      <c r="E298" s="0" t="n">
        <v>1549592.47</v>
      </c>
      <c r="F298" s="0" t="n">
        <v>0.0905</v>
      </c>
      <c r="G298" s="0" t="n">
        <v>0.0905</v>
      </c>
      <c r="H298" s="0" t="n">
        <v>0.0111045415</v>
      </c>
      <c r="I298" s="4" t="n">
        <f aca="false">ROUND(D298*H298,2)</f>
        <v>1549592.47</v>
      </c>
      <c r="J298" s="4" t="n">
        <f aca="false">ROUND(E298-I298,2)</f>
        <v>0</v>
      </c>
    </row>
    <row r="299" customFormat="false" ht="15" hidden="false" customHeight="false" outlineLevel="0" collapsed="false">
      <c r="A299" s="0" t="s">
        <v>155</v>
      </c>
      <c r="B299" s="0" t="s">
        <v>119</v>
      </c>
      <c r="C299" s="0" t="s">
        <v>129</v>
      </c>
      <c r="D299" s="0" t="n">
        <v>139545830.65</v>
      </c>
      <c r="E299" s="0" t="n">
        <v>1549592.47</v>
      </c>
      <c r="F299" s="0" t="n">
        <v>0.0905</v>
      </c>
      <c r="G299" s="0" t="n">
        <v>0.0905</v>
      </c>
      <c r="H299" s="0" t="n">
        <v>0.0111045415</v>
      </c>
      <c r="I299" s="4" t="n">
        <f aca="false">ROUND(D299*H299,2)</f>
        <v>1549592.47</v>
      </c>
      <c r="J299" s="4" t="n">
        <f aca="false">ROUND(E299-I299,2)</f>
        <v>0</v>
      </c>
    </row>
    <row r="300" customFormat="false" ht="15" hidden="false" customHeight="false" outlineLevel="0" collapsed="false">
      <c r="A300" s="0" t="s">
        <v>155</v>
      </c>
      <c r="B300" s="0" t="s">
        <v>119</v>
      </c>
      <c r="C300" s="0" t="s">
        <v>130</v>
      </c>
      <c r="D300" s="0" t="n">
        <v>139545830.65</v>
      </c>
      <c r="E300" s="0" t="n">
        <v>1549592.47</v>
      </c>
      <c r="F300" s="0" t="n">
        <v>0.0905</v>
      </c>
      <c r="G300" s="0" t="n">
        <v>0.0905</v>
      </c>
      <c r="H300" s="0" t="n">
        <v>0.0111045415</v>
      </c>
      <c r="I300" s="4" t="n">
        <f aca="false">ROUND(D300*H300,2)</f>
        <v>1549592.47</v>
      </c>
      <c r="J300" s="4" t="n">
        <f aca="false">ROUND(E300-I300,2)</f>
        <v>0</v>
      </c>
    </row>
    <row r="301" customFormat="false" ht="15" hidden="false" customHeight="false" outlineLevel="0" collapsed="false">
      <c r="A301" s="0" t="s">
        <v>155</v>
      </c>
      <c r="B301" s="0" t="s">
        <v>119</v>
      </c>
      <c r="C301" s="0" t="s">
        <v>131</v>
      </c>
      <c r="D301" s="0" t="n">
        <v>139545830.65</v>
      </c>
      <c r="E301" s="0" t="n">
        <v>1549592.47</v>
      </c>
      <c r="F301" s="0" t="n">
        <v>0.0905</v>
      </c>
      <c r="G301" s="0" t="n">
        <v>0.0905</v>
      </c>
      <c r="H301" s="0" t="n">
        <v>0.0111045415</v>
      </c>
      <c r="I301" s="4" t="n">
        <f aca="false">ROUND(D301*H301,2)</f>
        <v>1549592.47</v>
      </c>
      <c r="J301" s="4" t="n">
        <f aca="false">ROUND(E301-I301,2)</f>
        <v>0</v>
      </c>
    </row>
    <row r="302" customFormat="false" ht="15" hidden="false" customHeight="false" outlineLevel="0" collapsed="false">
      <c r="A302" s="0" t="s">
        <v>156</v>
      </c>
      <c r="B302" s="0" t="s">
        <v>119</v>
      </c>
      <c r="C302" s="0" t="s">
        <v>120</v>
      </c>
      <c r="D302" s="0" t="n">
        <v>711255463.76</v>
      </c>
      <c r="E302" s="0" t="n">
        <v>6668696.95</v>
      </c>
      <c r="F302" s="0" t="n">
        <v>0.069</v>
      </c>
      <c r="G302" s="0" t="n">
        <v>0.069</v>
      </c>
      <c r="H302" s="0" t="n">
        <v>0.0093759518</v>
      </c>
      <c r="I302" s="4" t="n">
        <f aca="false">ROUND(D302*H302,2)</f>
        <v>6668696.95</v>
      </c>
      <c r="J302" s="4" t="n">
        <f aca="false">ROUND(E302-I302,2)</f>
        <v>0</v>
      </c>
    </row>
    <row r="303" customFormat="false" ht="15" hidden="false" customHeight="false" outlineLevel="0" collapsed="false">
      <c r="A303" s="0" t="s">
        <v>156</v>
      </c>
      <c r="B303" s="0" t="s">
        <v>119</v>
      </c>
      <c r="C303" s="0" t="s">
        <v>121</v>
      </c>
      <c r="D303" s="0" t="n">
        <v>711807532.5</v>
      </c>
      <c r="E303" s="0" t="n">
        <v>6673873.12</v>
      </c>
      <c r="F303" s="0" t="n">
        <v>0.069</v>
      </c>
      <c r="G303" s="0" t="n">
        <v>0.069</v>
      </c>
      <c r="H303" s="0" t="n">
        <v>0.0093759518</v>
      </c>
      <c r="I303" s="4" t="n">
        <f aca="false">ROUND(D303*H303,2)</f>
        <v>6673873.12</v>
      </c>
      <c r="J303" s="4" t="n">
        <f aca="false">ROUND(E303-I303,2)</f>
        <v>0</v>
      </c>
    </row>
    <row r="304" customFormat="false" ht="15" hidden="false" customHeight="false" outlineLevel="0" collapsed="false">
      <c r="A304" s="0" t="s">
        <v>156</v>
      </c>
      <c r="B304" s="0" t="s">
        <v>119</v>
      </c>
      <c r="C304" s="0" t="s">
        <v>122</v>
      </c>
      <c r="D304" s="0" t="n">
        <v>712492703.92</v>
      </c>
      <c r="E304" s="0" t="n">
        <v>6680297.26</v>
      </c>
      <c r="F304" s="0" t="n">
        <v>0.069</v>
      </c>
      <c r="G304" s="0" t="n">
        <v>0.069</v>
      </c>
      <c r="H304" s="0" t="n">
        <v>0.0093759518</v>
      </c>
      <c r="I304" s="4" t="n">
        <f aca="false">ROUND(D304*H304,2)</f>
        <v>6680297.25</v>
      </c>
      <c r="J304" s="4" t="n">
        <f aca="false">ROUND(E304-I304,2)</f>
        <v>0.01</v>
      </c>
    </row>
    <row r="305" customFormat="false" ht="15" hidden="false" customHeight="false" outlineLevel="0" collapsed="false">
      <c r="A305" s="0" t="s">
        <v>156</v>
      </c>
      <c r="B305" s="0" t="s">
        <v>119</v>
      </c>
      <c r="C305" s="0" t="s">
        <v>123</v>
      </c>
      <c r="D305" s="0" t="n">
        <v>713601953.88</v>
      </c>
      <c r="E305" s="0" t="n">
        <v>6690697.53</v>
      </c>
      <c r="F305" s="0" t="n">
        <v>0.069</v>
      </c>
      <c r="G305" s="0" t="n">
        <v>0.069</v>
      </c>
      <c r="H305" s="0" t="n">
        <v>0.0093759518</v>
      </c>
      <c r="I305" s="4" t="n">
        <f aca="false">ROUND(D305*H305,2)</f>
        <v>6690697.52</v>
      </c>
      <c r="J305" s="4" t="n">
        <f aca="false">ROUND(E305-I305,2)</f>
        <v>0.01</v>
      </c>
    </row>
    <row r="306" customFormat="false" ht="15" hidden="false" customHeight="false" outlineLevel="0" collapsed="false">
      <c r="A306" s="0" t="s">
        <v>156</v>
      </c>
      <c r="B306" s="0" t="s">
        <v>119</v>
      </c>
      <c r="C306" s="0" t="s">
        <v>124</v>
      </c>
      <c r="D306" s="0" t="n">
        <v>714684947.99</v>
      </c>
      <c r="E306" s="0" t="n">
        <v>6700851.63</v>
      </c>
      <c r="F306" s="0" t="n">
        <v>0.069</v>
      </c>
      <c r="G306" s="0" t="n">
        <v>0.069</v>
      </c>
      <c r="H306" s="0" t="n">
        <v>0.0093759518</v>
      </c>
      <c r="I306" s="4" t="n">
        <f aca="false">ROUND(D306*H306,2)</f>
        <v>6700851.62</v>
      </c>
      <c r="J306" s="4" t="n">
        <f aca="false">ROUND(E306-I306,2)</f>
        <v>0.01</v>
      </c>
    </row>
    <row r="307" customFormat="false" ht="15" hidden="false" customHeight="false" outlineLevel="0" collapsed="false">
      <c r="A307" s="0" t="s">
        <v>156</v>
      </c>
      <c r="B307" s="0" t="s">
        <v>119</v>
      </c>
      <c r="C307" s="0" t="s">
        <v>125</v>
      </c>
      <c r="D307" s="0" t="n">
        <v>715347024.5</v>
      </c>
      <c r="E307" s="0" t="n">
        <v>6707059.23</v>
      </c>
      <c r="F307" s="0" t="n">
        <v>0.069</v>
      </c>
      <c r="G307" s="0" t="n">
        <v>0.069</v>
      </c>
      <c r="H307" s="0" t="n">
        <v>0.0093759518</v>
      </c>
      <c r="I307" s="4" t="n">
        <f aca="false">ROUND(D307*H307,2)</f>
        <v>6707059.22</v>
      </c>
      <c r="J307" s="4" t="n">
        <f aca="false">ROUND(E307-I307,2)</f>
        <v>0.01</v>
      </c>
    </row>
    <row r="308" customFormat="false" ht="15" hidden="false" customHeight="false" outlineLevel="0" collapsed="false">
      <c r="A308" s="0" t="s">
        <v>156</v>
      </c>
      <c r="B308" s="0" t="s">
        <v>119</v>
      </c>
      <c r="C308" s="0" t="s">
        <v>126</v>
      </c>
      <c r="D308" s="0" t="n">
        <v>716226030.6</v>
      </c>
      <c r="E308" s="0" t="n">
        <v>6715300.75</v>
      </c>
      <c r="F308" s="0" t="n">
        <v>0.069</v>
      </c>
      <c r="G308" s="0" t="n">
        <v>0.069</v>
      </c>
      <c r="H308" s="0" t="n">
        <v>0.0093759518</v>
      </c>
      <c r="I308" s="4" t="n">
        <f aca="false">ROUND(D308*H308,2)</f>
        <v>6715300.74</v>
      </c>
      <c r="J308" s="4" t="n">
        <f aca="false">ROUND(E308-I308,2)</f>
        <v>0.01</v>
      </c>
    </row>
    <row r="309" customFormat="false" ht="15" hidden="false" customHeight="false" outlineLevel="0" collapsed="false">
      <c r="A309" s="0" t="s">
        <v>156</v>
      </c>
      <c r="B309" s="0" t="s">
        <v>119</v>
      </c>
      <c r="C309" s="0" t="s">
        <v>127</v>
      </c>
      <c r="D309" s="0" t="n">
        <v>717272132.9</v>
      </c>
      <c r="E309" s="0" t="n">
        <v>6725108.95</v>
      </c>
      <c r="F309" s="0" t="n">
        <v>0.069</v>
      </c>
      <c r="G309" s="0" t="n">
        <v>0.069</v>
      </c>
      <c r="H309" s="0" t="n">
        <v>0.0093759518</v>
      </c>
      <c r="I309" s="4" t="n">
        <f aca="false">ROUND(D309*H309,2)</f>
        <v>6725108.95</v>
      </c>
      <c r="J309" s="4" t="n">
        <f aca="false">ROUND(E309-I309,2)</f>
        <v>0</v>
      </c>
    </row>
    <row r="310" customFormat="false" ht="15" hidden="false" customHeight="false" outlineLevel="0" collapsed="false">
      <c r="A310" s="0" t="s">
        <v>156</v>
      </c>
      <c r="B310" s="0" t="s">
        <v>119</v>
      </c>
      <c r="C310" s="0" t="s">
        <v>128</v>
      </c>
      <c r="D310" s="0" t="n">
        <v>718222714.85</v>
      </c>
      <c r="E310" s="0" t="n">
        <v>6734021.56</v>
      </c>
      <c r="F310" s="0" t="n">
        <v>0.069</v>
      </c>
      <c r="G310" s="0" t="n">
        <v>0.069</v>
      </c>
      <c r="H310" s="0" t="n">
        <v>0.0093759518</v>
      </c>
      <c r="I310" s="4" t="n">
        <f aca="false">ROUND(D310*H310,2)</f>
        <v>6734021.56</v>
      </c>
      <c r="J310" s="4" t="n">
        <f aca="false">ROUND(E310-I310,2)</f>
        <v>0</v>
      </c>
    </row>
    <row r="311" customFormat="false" ht="15" hidden="false" customHeight="false" outlineLevel="0" collapsed="false">
      <c r="A311" s="0" t="s">
        <v>156</v>
      </c>
      <c r="B311" s="0" t="s">
        <v>119</v>
      </c>
      <c r="C311" s="0" t="s">
        <v>129</v>
      </c>
      <c r="D311" s="0" t="n">
        <v>719243559.27</v>
      </c>
      <c r="E311" s="0" t="n">
        <v>8413645.62</v>
      </c>
      <c r="F311" s="0" t="n">
        <v>0.099</v>
      </c>
      <c r="G311" s="0" t="n">
        <v>0.069</v>
      </c>
      <c r="H311" s="0" t="n">
        <v>0.0093759518</v>
      </c>
      <c r="I311" s="4" t="n">
        <f aca="false">ROUND(D311*H311,2)</f>
        <v>6743592.94</v>
      </c>
      <c r="J311" s="4" t="n">
        <f aca="false">ROUND(E311-I311,2)</f>
        <v>1670052.68</v>
      </c>
    </row>
    <row r="312" customFormat="false" ht="15" hidden="false" customHeight="false" outlineLevel="0" collapsed="false">
      <c r="A312" s="0" t="s">
        <v>156</v>
      </c>
      <c r="B312" s="0" t="s">
        <v>119</v>
      </c>
      <c r="C312" s="0" t="s">
        <v>130</v>
      </c>
      <c r="D312" s="0" t="n">
        <v>720302387.01</v>
      </c>
      <c r="E312" s="0" t="n">
        <v>8426031.69</v>
      </c>
      <c r="F312" s="0" t="n">
        <v>0.099</v>
      </c>
      <c r="G312" s="0" t="n">
        <v>0.069</v>
      </c>
      <c r="H312" s="0" t="n">
        <v>0.0093759518</v>
      </c>
      <c r="I312" s="4" t="n">
        <f aca="false">ROUND(D312*H312,2)</f>
        <v>6753520.46</v>
      </c>
      <c r="J312" s="4" t="n">
        <f aca="false">ROUND(E312-I312,2)</f>
        <v>1672511.23</v>
      </c>
    </row>
    <row r="313" customFormat="false" ht="15" hidden="false" customHeight="false" outlineLevel="0" collapsed="false">
      <c r="A313" s="0" t="s">
        <v>156</v>
      </c>
      <c r="B313" s="0" t="s">
        <v>119</v>
      </c>
      <c r="C313" s="0" t="s">
        <v>131</v>
      </c>
      <c r="D313" s="0" t="n">
        <v>721412045.08</v>
      </c>
      <c r="E313" s="0" t="n">
        <v>8439012.37</v>
      </c>
      <c r="F313" s="0" t="n">
        <v>0.099</v>
      </c>
      <c r="G313" s="0" t="n">
        <v>0.069</v>
      </c>
      <c r="H313" s="0" t="n">
        <v>0.0093759518</v>
      </c>
      <c r="I313" s="4" t="n">
        <f aca="false">ROUND(D313*H313,2)</f>
        <v>6763924.56</v>
      </c>
      <c r="J313" s="4" t="n">
        <f aca="false">ROUND(E313-I313,2)</f>
        <v>1675087.81</v>
      </c>
    </row>
    <row r="314" customFormat="false" ht="15" hidden="false" customHeight="false" outlineLevel="0" collapsed="false">
      <c r="A314" s="0" t="s">
        <v>157</v>
      </c>
      <c r="B314" s="0" t="s">
        <v>119</v>
      </c>
      <c r="C314" s="0" t="s">
        <v>120</v>
      </c>
      <c r="D314" s="0" t="n">
        <v>9761153904.71</v>
      </c>
      <c r="E314" s="0" t="n">
        <v>104180043.58</v>
      </c>
      <c r="F314" s="0" t="n">
        <v>0.0674</v>
      </c>
      <c r="G314" s="0" t="n">
        <v>0.0674</v>
      </c>
      <c r="H314" s="0" t="n">
        <v>0.010672923</v>
      </c>
      <c r="I314" s="4" t="n">
        <f aca="false">ROUND(D314*H314,2)</f>
        <v>104180044.02</v>
      </c>
      <c r="J314" s="4" t="n">
        <f aca="false">ROUND(E314-I314,2)</f>
        <v>-0.44</v>
      </c>
    </row>
    <row r="315" customFormat="false" ht="15" hidden="false" customHeight="false" outlineLevel="0" collapsed="false">
      <c r="A315" s="0" t="s">
        <v>157</v>
      </c>
      <c r="B315" s="0" t="s">
        <v>119</v>
      </c>
      <c r="C315" s="0" t="s">
        <v>121</v>
      </c>
      <c r="D315" s="0" t="n">
        <v>9885574279.7</v>
      </c>
      <c r="E315" s="0" t="n">
        <v>105507972.66</v>
      </c>
      <c r="F315" s="0" t="n">
        <v>0.0674</v>
      </c>
      <c r="G315" s="0" t="n">
        <v>0.0674</v>
      </c>
      <c r="H315" s="0" t="n">
        <v>0.010672923</v>
      </c>
      <c r="I315" s="4" t="n">
        <f aca="false">ROUND(D315*H315,2)</f>
        <v>105507973.1</v>
      </c>
      <c r="J315" s="4" t="n">
        <f aca="false">ROUND(E315-I315,2)</f>
        <v>-0.44</v>
      </c>
    </row>
    <row r="316" customFormat="false" ht="15" hidden="false" customHeight="false" outlineLevel="0" collapsed="false">
      <c r="A316" s="0" t="s">
        <v>157</v>
      </c>
      <c r="B316" s="0" t="s">
        <v>119</v>
      </c>
      <c r="C316" s="0" t="s">
        <v>122</v>
      </c>
      <c r="D316" s="0" t="n">
        <v>10020280221.12</v>
      </c>
      <c r="E316" s="0" t="n">
        <v>106945678.79</v>
      </c>
      <c r="F316" s="0" t="n">
        <v>0.0674</v>
      </c>
      <c r="G316" s="0" t="n">
        <v>0.0674</v>
      </c>
      <c r="H316" s="0" t="n">
        <v>0.010672923</v>
      </c>
      <c r="I316" s="4" t="n">
        <f aca="false">ROUND(D316*H316,2)</f>
        <v>106945679.24</v>
      </c>
      <c r="J316" s="4" t="n">
        <f aca="false">ROUND(E316-I316,2)</f>
        <v>-0.45</v>
      </c>
    </row>
    <row r="317" customFormat="false" ht="15" hidden="false" customHeight="false" outlineLevel="0" collapsed="false">
      <c r="A317" s="0" t="s">
        <v>157</v>
      </c>
      <c r="B317" s="0" t="s">
        <v>119</v>
      </c>
      <c r="C317" s="0" t="s">
        <v>123</v>
      </c>
      <c r="D317" s="0" t="n">
        <v>10163252259.18</v>
      </c>
      <c r="E317" s="0" t="n">
        <v>108471608.34</v>
      </c>
      <c r="F317" s="0" t="n">
        <v>0.0674</v>
      </c>
      <c r="G317" s="0" t="n">
        <v>0.0674</v>
      </c>
      <c r="H317" s="0" t="n">
        <v>0.010672923</v>
      </c>
      <c r="I317" s="4" t="n">
        <f aca="false">ROUND(D317*H317,2)</f>
        <v>108471608.79</v>
      </c>
      <c r="J317" s="4" t="n">
        <f aca="false">ROUND(E317-I317,2)</f>
        <v>-0.45</v>
      </c>
    </row>
    <row r="318" customFormat="false" ht="15" hidden="false" customHeight="false" outlineLevel="0" collapsed="false">
      <c r="A318" s="0" t="s">
        <v>157</v>
      </c>
      <c r="B318" s="0" t="s">
        <v>119</v>
      </c>
      <c r="C318" s="0" t="s">
        <v>124</v>
      </c>
      <c r="D318" s="0" t="n">
        <v>10311777981.28</v>
      </c>
      <c r="E318" s="0" t="n">
        <v>110056811.93</v>
      </c>
      <c r="F318" s="0" t="n">
        <v>0.0674</v>
      </c>
      <c r="G318" s="0" t="n">
        <v>0.0674</v>
      </c>
      <c r="H318" s="0" t="n">
        <v>0.010672923</v>
      </c>
      <c r="I318" s="4" t="n">
        <f aca="false">ROUND(D318*H318,2)</f>
        <v>110056812.39</v>
      </c>
      <c r="J318" s="4" t="n">
        <f aca="false">ROUND(E318-I318,2)</f>
        <v>-0.46</v>
      </c>
    </row>
    <row r="319" customFormat="false" ht="15" hidden="false" customHeight="false" outlineLevel="0" collapsed="false">
      <c r="A319" s="0" t="s">
        <v>157</v>
      </c>
      <c r="B319" s="0" t="s">
        <v>119</v>
      </c>
      <c r="C319" s="0" t="s">
        <v>125</v>
      </c>
      <c r="D319" s="0" t="n">
        <v>10463698438.36</v>
      </c>
      <c r="E319" s="0" t="n">
        <v>111678247.26</v>
      </c>
      <c r="F319" s="0" t="n">
        <v>0.0674</v>
      </c>
      <c r="G319" s="0" t="n">
        <v>0.0674</v>
      </c>
      <c r="H319" s="0" t="n">
        <v>0.010672923</v>
      </c>
      <c r="I319" s="4" t="n">
        <f aca="false">ROUND(D319*H319,2)</f>
        <v>111678247.73</v>
      </c>
      <c r="J319" s="4" t="n">
        <f aca="false">ROUND(E319-I319,2)</f>
        <v>-0.47</v>
      </c>
    </row>
    <row r="320" customFormat="false" ht="15" hidden="false" customHeight="false" outlineLevel="0" collapsed="false">
      <c r="A320" s="0" t="s">
        <v>157</v>
      </c>
      <c r="B320" s="0" t="s">
        <v>119</v>
      </c>
      <c r="C320" s="0" t="s">
        <v>126</v>
      </c>
      <c r="D320" s="0" t="n">
        <v>10618176934.7</v>
      </c>
      <c r="E320" s="0" t="n">
        <v>113326984.35</v>
      </c>
      <c r="F320" s="0" t="n">
        <v>0.0674</v>
      </c>
      <c r="G320" s="0" t="n">
        <v>0.0674</v>
      </c>
      <c r="H320" s="0" t="n">
        <v>0.010672923</v>
      </c>
      <c r="I320" s="4" t="n">
        <f aca="false">ROUND(D320*H320,2)</f>
        <v>113326984.82</v>
      </c>
      <c r="J320" s="4" t="n">
        <f aca="false">ROUND(E320-I320,2)</f>
        <v>-0.47</v>
      </c>
    </row>
    <row r="321" customFormat="false" ht="15" hidden="false" customHeight="false" outlineLevel="0" collapsed="false">
      <c r="A321" s="0" t="s">
        <v>157</v>
      </c>
      <c r="B321" s="0" t="s">
        <v>119</v>
      </c>
      <c r="C321" s="0" t="s">
        <v>127</v>
      </c>
      <c r="D321" s="0" t="n">
        <v>10777860484.96</v>
      </c>
      <c r="E321" s="0" t="n">
        <v>115031274.58</v>
      </c>
      <c r="F321" s="0" t="n">
        <v>0.0674</v>
      </c>
      <c r="G321" s="0" t="n">
        <v>0.0674</v>
      </c>
      <c r="H321" s="0" t="n">
        <v>0.010672923</v>
      </c>
      <c r="I321" s="4" t="n">
        <f aca="false">ROUND(D321*H321,2)</f>
        <v>115031275.06</v>
      </c>
      <c r="J321" s="4" t="n">
        <f aca="false">ROUND(E321-I321,2)</f>
        <v>-0.48</v>
      </c>
    </row>
    <row r="322" customFormat="false" ht="15" hidden="false" customHeight="false" outlineLevel="0" collapsed="false">
      <c r="A322" s="0" t="s">
        <v>157</v>
      </c>
      <c r="B322" s="0" t="s">
        <v>119</v>
      </c>
      <c r="C322" s="0" t="s">
        <v>128</v>
      </c>
      <c r="D322" s="0" t="n">
        <v>10941739358.1</v>
      </c>
      <c r="E322" s="0" t="n">
        <v>116780341.17</v>
      </c>
      <c r="F322" s="0" t="n">
        <v>0.0674</v>
      </c>
      <c r="G322" s="0" t="n">
        <v>0.0674</v>
      </c>
      <c r="H322" s="0" t="n">
        <v>0.010672923</v>
      </c>
      <c r="I322" s="4" t="n">
        <f aca="false">ROUND(D322*H322,2)</f>
        <v>116780341.66</v>
      </c>
      <c r="J322" s="4" t="n">
        <f aca="false">ROUND(E322-I322,2)</f>
        <v>-0.49</v>
      </c>
    </row>
    <row r="323" customFormat="false" ht="15" hidden="false" customHeight="false" outlineLevel="0" collapsed="false">
      <c r="A323" s="0" t="s">
        <v>157</v>
      </c>
      <c r="B323" s="0" t="s">
        <v>119</v>
      </c>
      <c r="C323" s="0" t="s">
        <v>129</v>
      </c>
      <c r="D323" s="0" t="n">
        <v>11111064865.76</v>
      </c>
      <c r="E323" s="0" t="n">
        <v>118587539.26</v>
      </c>
      <c r="F323" s="0" t="n">
        <v>0.0674</v>
      </c>
      <c r="G323" s="0" t="n">
        <v>0.0674</v>
      </c>
      <c r="H323" s="0" t="n">
        <v>0.010672923</v>
      </c>
      <c r="I323" s="4" t="n">
        <f aca="false">ROUND(D323*H323,2)</f>
        <v>118587539.76</v>
      </c>
      <c r="J323" s="4" t="n">
        <f aca="false">ROUND(E323-I323,2)</f>
        <v>-0.5</v>
      </c>
    </row>
    <row r="324" customFormat="false" ht="15" hidden="false" customHeight="false" outlineLevel="0" collapsed="false">
      <c r="A324" s="0" t="s">
        <v>157</v>
      </c>
      <c r="B324" s="0" t="s">
        <v>119</v>
      </c>
      <c r="C324" s="0" t="s">
        <v>130</v>
      </c>
      <c r="D324" s="0" t="n">
        <v>11282341639.24</v>
      </c>
      <c r="E324" s="0" t="n">
        <v>120415563.07</v>
      </c>
      <c r="F324" s="0" t="n">
        <v>0.0674</v>
      </c>
      <c r="G324" s="0" t="n">
        <v>0.0674</v>
      </c>
      <c r="H324" s="0" t="n">
        <v>0.010672923</v>
      </c>
      <c r="I324" s="4" t="n">
        <f aca="false">ROUND(D324*H324,2)</f>
        <v>120415563.58</v>
      </c>
      <c r="J324" s="4" t="n">
        <f aca="false">ROUND(E324-I324,2)</f>
        <v>-0.51</v>
      </c>
    </row>
    <row r="325" customFormat="false" ht="15" hidden="false" customHeight="false" outlineLevel="0" collapsed="false">
      <c r="A325" s="0" t="s">
        <v>157</v>
      </c>
      <c r="B325" s="0" t="s">
        <v>119</v>
      </c>
      <c r="C325" s="0" t="s">
        <v>131</v>
      </c>
      <c r="D325" s="0" t="n">
        <v>11456019711.22</v>
      </c>
      <c r="E325" s="0" t="n">
        <v>122269215.75</v>
      </c>
      <c r="F325" s="0" t="n">
        <v>0.0674</v>
      </c>
      <c r="G325" s="0" t="n">
        <v>0.0674</v>
      </c>
      <c r="H325" s="0" t="n">
        <v>0.010672923</v>
      </c>
      <c r="I325" s="4" t="n">
        <f aca="false">ROUND(D325*H325,2)</f>
        <v>122269216.26</v>
      </c>
      <c r="J325" s="4" t="n">
        <f aca="false">ROUND(E325-I325,2)</f>
        <v>-0.51</v>
      </c>
    </row>
    <row r="326" customFormat="false" ht="15" hidden="false" customHeight="false" outlineLevel="0" collapsed="false">
      <c r="A326" s="0" t="s">
        <v>158</v>
      </c>
      <c r="B326" s="0" t="s">
        <v>119</v>
      </c>
      <c r="C326" s="0" t="s">
        <v>120</v>
      </c>
      <c r="D326" s="0" t="n">
        <v>177951791.22</v>
      </c>
      <c r="E326" s="0" t="n">
        <v>1704525.41</v>
      </c>
      <c r="F326" s="0" t="n">
        <v>0.0715</v>
      </c>
      <c r="G326" s="0" t="n">
        <v>0.0715</v>
      </c>
      <c r="H326" s="0" t="n">
        <v>0.0095785797</v>
      </c>
      <c r="I326" s="4" t="n">
        <f aca="false">ROUND(D326*H326,2)</f>
        <v>1704525.41</v>
      </c>
      <c r="J326" s="4" t="n">
        <f aca="false">ROUND(E326-I326,2)</f>
        <v>0</v>
      </c>
    </row>
    <row r="327" customFormat="false" ht="15" hidden="false" customHeight="false" outlineLevel="0" collapsed="false">
      <c r="A327" s="0" t="s">
        <v>158</v>
      </c>
      <c r="B327" s="0" t="s">
        <v>119</v>
      </c>
      <c r="C327" s="0" t="s">
        <v>121</v>
      </c>
      <c r="D327" s="0" t="n">
        <v>177951791.22</v>
      </c>
      <c r="E327" s="0" t="n">
        <v>1704525.41</v>
      </c>
      <c r="F327" s="0" t="n">
        <v>0.0715</v>
      </c>
      <c r="G327" s="0" t="n">
        <v>0.0715</v>
      </c>
      <c r="H327" s="0" t="n">
        <v>0.0095785797</v>
      </c>
      <c r="I327" s="4" t="n">
        <f aca="false">ROUND(D327*H327,2)</f>
        <v>1704525.41</v>
      </c>
      <c r="J327" s="4" t="n">
        <f aca="false">ROUND(E327-I327,2)</f>
        <v>0</v>
      </c>
    </row>
    <row r="328" customFormat="false" ht="15" hidden="false" customHeight="false" outlineLevel="0" collapsed="false">
      <c r="A328" s="0" t="s">
        <v>158</v>
      </c>
      <c r="B328" s="0" t="s">
        <v>119</v>
      </c>
      <c r="C328" s="0" t="s">
        <v>122</v>
      </c>
      <c r="D328" s="0" t="n">
        <v>177951791.22</v>
      </c>
      <c r="E328" s="0" t="n">
        <v>1704525.41</v>
      </c>
      <c r="F328" s="0" t="n">
        <v>0.0715</v>
      </c>
      <c r="G328" s="0" t="n">
        <v>0.0715</v>
      </c>
      <c r="H328" s="0" t="n">
        <v>0.0095785797</v>
      </c>
      <c r="I328" s="4" t="n">
        <f aca="false">ROUND(D328*H328,2)</f>
        <v>1704525.41</v>
      </c>
      <c r="J328" s="4" t="n">
        <f aca="false">ROUND(E328-I328,2)</f>
        <v>0</v>
      </c>
    </row>
    <row r="329" customFormat="false" ht="15" hidden="false" customHeight="false" outlineLevel="0" collapsed="false">
      <c r="A329" s="0" t="s">
        <v>158</v>
      </c>
      <c r="B329" s="0" t="s">
        <v>119</v>
      </c>
      <c r="C329" s="0" t="s">
        <v>123</v>
      </c>
      <c r="D329" s="0" t="n">
        <v>177951791.22</v>
      </c>
      <c r="E329" s="0" t="n">
        <v>1704525.41</v>
      </c>
      <c r="F329" s="0" t="n">
        <v>0.0715</v>
      </c>
      <c r="G329" s="0" t="n">
        <v>0.0715</v>
      </c>
      <c r="H329" s="0" t="n">
        <v>0.0095785797</v>
      </c>
      <c r="I329" s="4" t="n">
        <f aca="false">ROUND(D329*H329,2)</f>
        <v>1704525.41</v>
      </c>
      <c r="J329" s="4" t="n">
        <f aca="false">ROUND(E329-I329,2)</f>
        <v>0</v>
      </c>
    </row>
    <row r="330" customFormat="false" ht="15" hidden="false" customHeight="false" outlineLevel="0" collapsed="false">
      <c r="A330" s="0" t="s">
        <v>158</v>
      </c>
      <c r="B330" s="0" t="s">
        <v>119</v>
      </c>
      <c r="C330" s="0" t="s">
        <v>124</v>
      </c>
      <c r="D330" s="0" t="n">
        <v>177951791.22</v>
      </c>
      <c r="E330" s="0" t="n">
        <v>1704525.41</v>
      </c>
      <c r="F330" s="0" t="n">
        <v>0.0715</v>
      </c>
      <c r="G330" s="0" t="n">
        <v>0.0715</v>
      </c>
      <c r="H330" s="0" t="n">
        <v>0.0095785797</v>
      </c>
      <c r="I330" s="4" t="n">
        <f aca="false">ROUND(D330*H330,2)</f>
        <v>1704525.41</v>
      </c>
      <c r="J330" s="4" t="n">
        <f aca="false">ROUND(E330-I330,2)</f>
        <v>0</v>
      </c>
    </row>
    <row r="331" customFormat="false" ht="15" hidden="false" customHeight="false" outlineLevel="0" collapsed="false">
      <c r="A331" s="0" t="s">
        <v>158</v>
      </c>
      <c r="B331" s="0" t="s">
        <v>119</v>
      </c>
      <c r="C331" s="0" t="s">
        <v>125</v>
      </c>
      <c r="D331" s="0" t="n">
        <v>177951791.22</v>
      </c>
      <c r="E331" s="0" t="n">
        <v>1704525.41</v>
      </c>
      <c r="F331" s="0" t="n">
        <v>0.0715</v>
      </c>
      <c r="G331" s="0" t="n">
        <v>0.0715</v>
      </c>
      <c r="H331" s="0" t="n">
        <v>0.0095785797</v>
      </c>
      <c r="I331" s="4" t="n">
        <f aca="false">ROUND(D331*H331,2)</f>
        <v>1704525.41</v>
      </c>
      <c r="J331" s="4" t="n">
        <f aca="false">ROUND(E331-I331,2)</f>
        <v>0</v>
      </c>
    </row>
    <row r="332" customFormat="false" ht="15" hidden="false" customHeight="false" outlineLevel="0" collapsed="false">
      <c r="A332" s="0" t="s">
        <v>158</v>
      </c>
      <c r="B332" s="0" t="s">
        <v>119</v>
      </c>
      <c r="C332" s="0" t="s">
        <v>126</v>
      </c>
      <c r="D332" s="0" t="n">
        <v>177951791.22</v>
      </c>
      <c r="E332" s="0" t="n">
        <v>1704525.41</v>
      </c>
      <c r="F332" s="0" t="n">
        <v>0.0715</v>
      </c>
      <c r="G332" s="0" t="n">
        <v>0.0715</v>
      </c>
      <c r="H332" s="0" t="n">
        <v>0.0095785797</v>
      </c>
      <c r="I332" s="4" t="n">
        <f aca="false">ROUND(D332*H332,2)</f>
        <v>1704525.41</v>
      </c>
      <c r="J332" s="4" t="n">
        <f aca="false">ROUND(E332-I332,2)</f>
        <v>0</v>
      </c>
    </row>
    <row r="333" customFormat="false" ht="15" hidden="false" customHeight="false" outlineLevel="0" collapsed="false">
      <c r="A333" s="0" t="s">
        <v>158</v>
      </c>
      <c r="B333" s="0" t="s">
        <v>119</v>
      </c>
      <c r="C333" s="0" t="s">
        <v>127</v>
      </c>
      <c r="D333" s="0" t="n">
        <v>177951791.22</v>
      </c>
      <c r="E333" s="0" t="n">
        <v>1704525.41</v>
      </c>
      <c r="F333" s="0" t="n">
        <v>0.0715</v>
      </c>
      <c r="G333" s="0" t="n">
        <v>0.0715</v>
      </c>
      <c r="H333" s="0" t="n">
        <v>0.0095785797</v>
      </c>
      <c r="I333" s="4" t="n">
        <f aca="false">ROUND(D333*H333,2)</f>
        <v>1704525.41</v>
      </c>
      <c r="J333" s="4" t="n">
        <f aca="false">ROUND(E333-I333,2)</f>
        <v>0</v>
      </c>
    </row>
    <row r="334" customFormat="false" ht="15" hidden="false" customHeight="false" outlineLevel="0" collapsed="false">
      <c r="A334" s="0" t="s">
        <v>158</v>
      </c>
      <c r="B334" s="0" t="s">
        <v>119</v>
      </c>
      <c r="C334" s="0" t="s">
        <v>128</v>
      </c>
      <c r="D334" s="0" t="n">
        <v>177951791.22</v>
      </c>
      <c r="E334" s="0" t="n">
        <v>1704525.41</v>
      </c>
      <c r="F334" s="0" t="n">
        <v>0.0715</v>
      </c>
      <c r="G334" s="0" t="n">
        <v>0.0715</v>
      </c>
      <c r="H334" s="0" t="n">
        <v>0.0095785797</v>
      </c>
      <c r="I334" s="4" t="n">
        <f aca="false">ROUND(D334*H334,2)</f>
        <v>1704525.41</v>
      </c>
      <c r="J334" s="4" t="n">
        <f aca="false">ROUND(E334-I334,2)</f>
        <v>0</v>
      </c>
    </row>
    <row r="335" customFormat="false" ht="15" hidden="false" customHeight="false" outlineLevel="0" collapsed="false">
      <c r="A335" s="0" t="s">
        <v>158</v>
      </c>
      <c r="B335" s="0" t="s">
        <v>119</v>
      </c>
      <c r="C335" s="0" t="s">
        <v>129</v>
      </c>
      <c r="D335" s="0" t="n">
        <v>177951791.22</v>
      </c>
      <c r="E335" s="0" t="n">
        <v>1704525.41</v>
      </c>
      <c r="F335" s="0" t="n">
        <v>0.0715</v>
      </c>
      <c r="G335" s="0" t="n">
        <v>0.0715</v>
      </c>
      <c r="H335" s="0" t="n">
        <v>0.0095785797</v>
      </c>
      <c r="I335" s="4" t="n">
        <f aca="false">ROUND(D335*H335,2)</f>
        <v>1704525.41</v>
      </c>
      <c r="J335" s="4" t="n">
        <f aca="false">ROUND(E335-I335,2)</f>
        <v>0</v>
      </c>
    </row>
    <row r="336" customFormat="false" ht="15" hidden="false" customHeight="false" outlineLevel="0" collapsed="false">
      <c r="A336" s="0" t="s">
        <v>158</v>
      </c>
      <c r="B336" s="0" t="s">
        <v>119</v>
      </c>
      <c r="C336" s="0" t="s">
        <v>130</v>
      </c>
      <c r="D336" s="0" t="n">
        <v>177951791.22</v>
      </c>
      <c r="E336" s="0" t="n">
        <v>1704525.41</v>
      </c>
      <c r="F336" s="0" t="n">
        <v>0.0715</v>
      </c>
      <c r="G336" s="0" t="n">
        <v>0.0715</v>
      </c>
      <c r="H336" s="0" t="n">
        <v>0.0095785797</v>
      </c>
      <c r="I336" s="4" t="n">
        <f aca="false">ROUND(D336*H336,2)</f>
        <v>1704525.41</v>
      </c>
      <c r="J336" s="4" t="n">
        <f aca="false">ROUND(E336-I336,2)</f>
        <v>0</v>
      </c>
    </row>
    <row r="337" customFormat="false" ht="15" hidden="false" customHeight="false" outlineLevel="0" collapsed="false">
      <c r="A337" s="0" t="s">
        <v>158</v>
      </c>
      <c r="B337" s="0" t="s">
        <v>119</v>
      </c>
      <c r="C337" s="0" t="s">
        <v>131</v>
      </c>
      <c r="D337" s="0" t="n">
        <v>177951791.22</v>
      </c>
      <c r="E337" s="0" t="n">
        <v>1704525.41</v>
      </c>
      <c r="F337" s="0" t="n">
        <v>0.0715</v>
      </c>
      <c r="G337" s="0" t="n">
        <v>0.0715</v>
      </c>
      <c r="H337" s="0" t="n">
        <v>0.0095785797</v>
      </c>
      <c r="I337" s="4" t="n">
        <f aca="false">ROUND(D337*H337,2)</f>
        <v>1704525.41</v>
      </c>
      <c r="J337" s="4" t="n">
        <f aca="false">ROUND(E337-I337,2)</f>
        <v>0</v>
      </c>
    </row>
    <row r="338" customFormat="false" ht="15" hidden="false" customHeight="false" outlineLevel="0" collapsed="false">
      <c r="A338" s="0" t="s">
        <v>159</v>
      </c>
      <c r="J338" s="4" t="n">
        <f aca="false">SUMPRODUCT((ABS(J2:J337)&gt;1)*J2:J337)</f>
        <v>5017651.72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8.35" hidden="false" customHeight="false" outlineLevel="0" collapsed="false">
      <c r="A1" s="1" t="s">
        <v>108</v>
      </c>
      <c r="B1" s="1" t="s">
        <v>109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117</v>
      </c>
      <c r="H1" s="1" t="s">
        <v>164</v>
      </c>
      <c r="I1" s="1" t="s">
        <v>165</v>
      </c>
    </row>
    <row r="2" customFormat="false" ht="15" hidden="false" customHeight="false" outlineLevel="0" collapsed="false">
      <c r="A2" s="0" t="s">
        <v>118</v>
      </c>
      <c r="B2" s="0" t="s">
        <v>119</v>
      </c>
      <c r="C2" s="0" t="n">
        <v>0.0775066257532616</v>
      </c>
      <c r="D2" s="0" t="n">
        <v>0.0872812900012132</v>
      </c>
      <c r="E2" s="0" t="n">
        <v>56508508.22</v>
      </c>
      <c r="F2" s="0" t="n">
        <v>50180099.29</v>
      </c>
      <c r="G2" s="4" t="n">
        <f aca="false">E2-F2</f>
        <v>6328408.93</v>
      </c>
      <c r="H2" s="14" t="n">
        <f aca="false">(D2-C2)*100</f>
        <v>0.977466424795159</v>
      </c>
      <c r="I2" s="0" t="str">
        <f aca="false">IF(OR(AND(B2="OEM",ABS(D2-1)&gt;0.000001),AND(ABS(H2)&gt;10,ABS(G2)&gt;=7000000)),"SIM","não")</f>
        <v>não</v>
      </c>
    </row>
    <row r="3" customFormat="false" ht="15" hidden="false" customHeight="false" outlineLevel="0" collapsed="false">
      <c r="A3" s="0" t="s">
        <v>118</v>
      </c>
      <c r="B3" s="0" t="s">
        <v>166</v>
      </c>
      <c r="C3" s="0" t="n">
        <v>1</v>
      </c>
      <c r="D3" s="0" t="n">
        <v>1</v>
      </c>
      <c r="E3" s="0" t="n">
        <v>5214887.41</v>
      </c>
      <c r="F3" s="0" t="n">
        <v>5214887.41</v>
      </c>
      <c r="G3" s="4" t="n">
        <f aca="false">E3-F3</f>
        <v>0</v>
      </c>
      <c r="H3" s="14" t="n">
        <f aca="false">(D3-C3)*100</f>
        <v>0</v>
      </c>
      <c r="I3" s="0" t="str">
        <f aca="false">IF(OR(AND(B3="OEM",ABS(D3-1)&gt;0.000001),AND(ABS(H3)&gt;10,ABS(G3)&gt;=7000000)),"SIM","não")</f>
        <v>não</v>
      </c>
    </row>
    <row r="4" customFormat="false" ht="15" hidden="false" customHeight="false" outlineLevel="0" collapsed="false">
      <c r="A4" s="0" t="s">
        <v>132</v>
      </c>
      <c r="B4" s="0" t="s">
        <v>119</v>
      </c>
      <c r="C4" s="0" t="n">
        <v>0.0775066257548247</v>
      </c>
      <c r="D4" s="0" t="n">
        <v>0.0809536728032368</v>
      </c>
      <c r="E4" s="0" t="n">
        <v>44528481.7</v>
      </c>
      <c r="F4" s="0" t="n">
        <v>42632437.13</v>
      </c>
      <c r="G4" s="4" t="n">
        <f aca="false">E4-F4</f>
        <v>1896044.57</v>
      </c>
      <c r="H4" s="14" t="n">
        <f aca="false">(D4-C4)*100</f>
        <v>0.34470470484121</v>
      </c>
      <c r="I4" s="0" t="str">
        <f aca="false">IF(OR(AND(B4="OEM",ABS(D4-1)&gt;0.000001),AND(ABS(H4)&gt;10,ABS(G4)&gt;=7000000)),"SIM","não")</f>
        <v>não</v>
      </c>
    </row>
    <row r="5" customFormat="false" ht="15" hidden="false" customHeight="false" outlineLevel="0" collapsed="false">
      <c r="A5" s="0" t="s">
        <v>132</v>
      </c>
      <c r="B5" s="0" t="s">
        <v>166</v>
      </c>
      <c r="C5" s="0" t="n">
        <v>1</v>
      </c>
      <c r="D5" s="0" t="n">
        <v>1</v>
      </c>
      <c r="E5" s="0" t="n">
        <v>4109310.72</v>
      </c>
      <c r="F5" s="0" t="n">
        <v>4109310.72</v>
      </c>
      <c r="G5" s="4" t="n">
        <f aca="false">E5-F5</f>
        <v>0</v>
      </c>
      <c r="H5" s="14" t="n">
        <f aca="false">(D5-C5)*100</f>
        <v>0</v>
      </c>
      <c r="I5" s="0" t="str">
        <f aca="false">IF(OR(AND(B5="OEM",ABS(D5-1)&gt;0.000001),AND(ABS(H5)&gt;10,ABS(G5)&gt;=7000000)),"SIM","não")</f>
        <v>não</v>
      </c>
    </row>
    <row r="6" customFormat="false" ht="15" hidden="false" customHeight="false" outlineLevel="0" collapsed="false">
      <c r="A6" s="0" t="s">
        <v>133</v>
      </c>
      <c r="B6" s="0" t="s">
        <v>119</v>
      </c>
      <c r="C6" s="0" t="n">
        <v>0.0775066258019355</v>
      </c>
      <c r="D6" s="0" t="n">
        <v>0.0890522450842742</v>
      </c>
      <c r="E6" s="0" t="n">
        <v>14602576.95</v>
      </c>
      <c r="F6" s="0" t="n">
        <v>12709353.55</v>
      </c>
      <c r="G6" s="4" t="n">
        <f aca="false">E6-F6</f>
        <v>1893223.4</v>
      </c>
      <c r="H6" s="14" t="n">
        <f aca="false">(D6-C6)*100</f>
        <v>1.15456192823387</v>
      </c>
      <c r="I6" s="0" t="str">
        <f aca="false">IF(OR(AND(B6="OEM",ABS(D6-1)&gt;0.000001),AND(ABS(H6)&gt;10,ABS(G6)&gt;=7000000)),"SIM","não")</f>
        <v>não</v>
      </c>
    </row>
    <row r="7" customFormat="false" ht="15" hidden="false" customHeight="false" outlineLevel="0" collapsed="false">
      <c r="A7" s="0" t="s">
        <v>133</v>
      </c>
      <c r="B7" s="0" t="s">
        <v>166</v>
      </c>
      <c r="C7" s="0" t="n">
        <v>1</v>
      </c>
      <c r="D7" s="0" t="n">
        <v>1</v>
      </c>
      <c r="E7" s="0" t="n">
        <v>1347598.74</v>
      </c>
      <c r="F7" s="0" t="n">
        <v>1347598.74</v>
      </c>
      <c r="G7" s="4" t="n">
        <f aca="false">E7-F7</f>
        <v>0</v>
      </c>
      <c r="H7" s="14" t="n">
        <f aca="false">(D7-C7)*100</f>
        <v>0</v>
      </c>
      <c r="I7" s="0" t="str">
        <f aca="false">IF(OR(AND(B7="OEM",ABS(D7-1)&gt;0.000001),AND(ABS(H7)&gt;10,ABS(G7)&gt;=7000000)),"SIM","não")</f>
        <v>não</v>
      </c>
    </row>
    <row r="8" customFormat="false" ht="15" hidden="false" customHeight="false" outlineLevel="0" collapsed="false">
      <c r="A8" s="0" t="s">
        <v>134</v>
      </c>
      <c r="B8" s="0" t="s">
        <v>119</v>
      </c>
      <c r="C8" s="0" t="n">
        <v>0.0678182975260295</v>
      </c>
      <c r="D8" s="0" t="n">
        <v>0.0560151557814691</v>
      </c>
      <c r="E8" s="0" t="n">
        <v>44478042.79</v>
      </c>
      <c r="F8" s="0" t="n">
        <v>53850160.68</v>
      </c>
      <c r="G8" s="4" t="n">
        <f aca="false">E8-F8</f>
        <v>-9372117.89</v>
      </c>
      <c r="H8" s="14" t="n">
        <f aca="false">(D8-C8)*100</f>
        <v>-1.18031417445604</v>
      </c>
      <c r="I8" s="0" t="str">
        <f aca="false">IF(OR(AND(B8="OEM",ABS(D8-1)&gt;0.000001),AND(ABS(H8)&gt;10,ABS(G8)&gt;=7000000)),"SIM","não")</f>
        <v>não</v>
      </c>
    </row>
    <row r="9" customFormat="false" ht="15" hidden="false" customHeight="false" outlineLevel="0" collapsed="false">
      <c r="A9" s="0" t="s">
        <v>134</v>
      </c>
      <c r="B9" s="0" t="s">
        <v>166</v>
      </c>
      <c r="C9" s="0" t="n">
        <v>0</v>
      </c>
      <c r="D9" s="0" t="n">
        <v>1</v>
      </c>
      <c r="E9" s="0" t="n">
        <v>6477607.86</v>
      </c>
      <c r="F9" s="0" t="n">
        <v>0</v>
      </c>
      <c r="G9" s="4" t="n">
        <f aca="false">E9-F9</f>
        <v>6477607.86</v>
      </c>
      <c r="H9" s="14" t="n">
        <f aca="false">(D9-C9)*100</f>
        <v>100</v>
      </c>
      <c r="I9" s="0" t="str">
        <f aca="false">IF(OR(AND(B9="OEM",ABS(D9-1)&gt;0.000001),AND(ABS(H9)&gt;10,ABS(G9)&gt;=7000000)),"SIM","não")</f>
        <v>não</v>
      </c>
    </row>
    <row r="10" customFormat="false" ht="15" hidden="false" customHeight="false" outlineLevel="0" collapsed="false">
      <c r="A10" s="0" t="s">
        <v>135</v>
      </c>
      <c r="B10" s="0" t="s">
        <v>119</v>
      </c>
      <c r="C10" s="0" t="n">
        <v>0.0775066258885599</v>
      </c>
      <c r="D10" s="0" t="n">
        <v>0.0594848515132065</v>
      </c>
      <c r="E10" s="0" t="n">
        <v>5897871.82</v>
      </c>
      <c r="F10" s="0" t="n">
        <v>7684715.24</v>
      </c>
      <c r="G10" s="4" t="n">
        <f aca="false">E10-F10</f>
        <v>-1786843.42</v>
      </c>
      <c r="H10" s="14" t="n">
        <f aca="false">(D10-C10)*100</f>
        <v>-1.80217743753534</v>
      </c>
      <c r="I10" s="0" t="str">
        <f aca="false">IF(OR(AND(B10="OEM",ABS(D10-1)&gt;0.000001),AND(ABS(H10)&gt;10,ABS(G10)&gt;=7000000)),"SIM","não")</f>
        <v>não</v>
      </c>
    </row>
    <row r="11" customFormat="false" ht="15" hidden="false" customHeight="false" outlineLevel="0" collapsed="false">
      <c r="A11" s="0" t="s">
        <v>135</v>
      </c>
      <c r="B11" s="0" t="s">
        <v>166</v>
      </c>
      <c r="C11" s="0" t="n">
        <v>1</v>
      </c>
      <c r="D11" s="0" t="n">
        <v>1</v>
      </c>
      <c r="E11" s="0" t="n">
        <v>544285.07</v>
      </c>
      <c r="F11" s="0" t="n">
        <v>544285.07</v>
      </c>
      <c r="G11" s="4" t="n">
        <f aca="false">E11-F11</f>
        <v>0</v>
      </c>
      <c r="H11" s="14" t="n">
        <f aca="false">(D11-C11)*100</f>
        <v>0</v>
      </c>
      <c r="I11" s="0" t="str">
        <f aca="false">IF(OR(AND(B11="OEM",ABS(D11-1)&gt;0.000001),AND(ABS(H11)&gt;10,ABS(G11)&gt;=7000000)),"SIM","não")</f>
        <v>não</v>
      </c>
    </row>
    <row r="12" customFormat="false" ht="15" hidden="false" customHeight="false" outlineLevel="0" collapsed="false">
      <c r="A12" s="0" t="s">
        <v>136</v>
      </c>
      <c r="B12" s="0" t="s">
        <v>119</v>
      </c>
      <c r="C12" s="0" t="n">
        <v>1.11111111111111E-011</v>
      </c>
      <c r="D12" s="0" t="n">
        <v>4.26212436485776E-012</v>
      </c>
      <c r="E12" s="0" t="n">
        <v>0.01</v>
      </c>
      <c r="F12" s="0" t="n">
        <v>0.03</v>
      </c>
      <c r="G12" s="4" t="n">
        <f aca="false">E12-F12</f>
        <v>-0.02</v>
      </c>
      <c r="H12" s="14" t="n">
        <f aca="false">(D12-C12)*100</f>
        <v>-6.84898674625335E-010</v>
      </c>
      <c r="I12" s="0" t="str">
        <f aca="false">IF(OR(AND(B12="OEM",ABS(D12-1)&gt;0.000001),AND(ABS(H12)&gt;10,ABS(G12)&gt;=7000000)),"SIM","não")</f>
        <v>não</v>
      </c>
    </row>
    <row r="13" customFormat="false" ht="15" hidden="false" customHeight="false" outlineLevel="0" collapsed="false">
      <c r="A13" s="0" t="s">
        <v>137</v>
      </c>
      <c r="B13" s="0" t="s">
        <v>119</v>
      </c>
      <c r="C13" s="0" t="n">
        <v>0.0775066257437631</v>
      </c>
      <c r="D13" s="0" t="n">
        <v>0.0785706077510674</v>
      </c>
      <c r="E13" s="0" t="n">
        <v>36370892.03</v>
      </c>
      <c r="F13" s="0" t="n">
        <v>35878367.21</v>
      </c>
      <c r="G13" s="4" t="n">
        <f aca="false">E13-F13</f>
        <v>492524.82</v>
      </c>
      <c r="H13" s="14" t="n">
        <f aca="false">(D13-C13)*100</f>
        <v>0.10639820073043</v>
      </c>
      <c r="I13" s="0" t="str">
        <f aca="false">IF(OR(AND(B13="OEM",ABS(D13-1)&gt;0.000001),AND(ABS(H13)&gt;10,ABS(G13)&gt;=7000000)),"SIM","não")</f>
        <v>não</v>
      </c>
    </row>
    <row r="14" customFormat="false" ht="15" hidden="false" customHeight="false" outlineLevel="0" collapsed="false">
      <c r="A14" s="0" t="s">
        <v>137</v>
      </c>
      <c r="B14" s="0" t="s">
        <v>166</v>
      </c>
      <c r="C14" s="0" t="n">
        <v>1</v>
      </c>
      <c r="D14" s="0" t="n">
        <v>1</v>
      </c>
      <c r="E14" s="0" t="n">
        <v>3356487.59</v>
      </c>
      <c r="F14" s="0" t="n">
        <v>3356487.59</v>
      </c>
      <c r="G14" s="4" t="n">
        <f aca="false">E14-F14</f>
        <v>0</v>
      </c>
      <c r="H14" s="14" t="n">
        <f aca="false">(D14-C14)*100</f>
        <v>0</v>
      </c>
      <c r="I14" s="0" t="str">
        <f aca="false">IF(OR(AND(B14="OEM",ABS(D14-1)&gt;0.000001),AND(ABS(H14)&gt;10,ABS(G14)&gt;=7000000)),"SIM","não")</f>
        <v>não</v>
      </c>
    </row>
    <row r="15" customFormat="false" ht="15" hidden="false" customHeight="false" outlineLevel="0" collapsed="false">
      <c r="A15" s="0" t="s">
        <v>138</v>
      </c>
      <c r="B15" s="0" t="s">
        <v>119</v>
      </c>
      <c r="C15" s="0" t="n">
        <v>0.0094969011531914</v>
      </c>
      <c r="D15" s="0" t="n">
        <v>0.005906876315129</v>
      </c>
      <c r="E15" s="0" t="n">
        <v>25720812.99</v>
      </c>
      <c r="F15" s="0" t="n">
        <v>41353162.91</v>
      </c>
      <c r="G15" s="4" t="n">
        <f aca="false">E15-F15</f>
        <v>-15632349.92</v>
      </c>
      <c r="H15" s="14" t="n">
        <f aca="false">(D15-C15)*100</f>
        <v>-0.35900248380624</v>
      </c>
      <c r="I15" s="0" t="str">
        <f aca="false">IF(OR(AND(B15="OEM",ABS(D15-1)&gt;0.000001),AND(ABS(H15)&gt;10,ABS(G15)&gt;=7000000)),"SIM","não")</f>
        <v>não</v>
      </c>
    </row>
    <row r="16" customFormat="false" ht="15" hidden="false" customHeight="false" outlineLevel="0" collapsed="false">
      <c r="A16" s="0" t="s">
        <v>138</v>
      </c>
      <c r="B16" s="0" t="s">
        <v>166</v>
      </c>
      <c r="C16" s="0" t="n">
        <v>0</v>
      </c>
      <c r="D16" s="0" t="n">
        <v>1</v>
      </c>
      <c r="E16" s="0" t="n">
        <v>5958462.72</v>
      </c>
      <c r="F16" s="0" t="n">
        <v>0</v>
      </c>
      <c r="G16" s="4" t="n">
        <f aca="false">E16-F16</f>
        <v>5958462.72</v>
      </c>
      <c r="H16" s="14" t="n">
        <f aca="false">(D16-C16)*100</f>
        <v>100</v>
      </c>
      <c r="I16" s="0" t="str">
        <f aca="false">IF(OR(AND(B16="OEM",ABS(D16-1)&gt;0.000001),AND(ABS(H16)&gt;10,ABS(G16)&gt;=7000000)),"SIM","não")</f>
        <v>não</v>
      </c>
    </row>
    <row r="17" customFormat="false" ht="15" hidden="false" customHeight="false" outlineLevel="0" collapsed="false">
      <c r="A17" s="0" t="s">
        <v>139</v>
      </c>
      <c r="B17" s="0" t="s">
        <v>119</v>
      </c>
      <c r="C17" s="0" t="n">
        <v>1.55959401213249E-010</v>
      </c>
      <c r="D17" s="0" t="n">
        <v>5.14321212838689E-011</v>
      </c>
      <c r="E17" s="0" t="n">
        <v>0.01</v>
      </c>
      <c r="F17" s="0" t="n">
        <v>0.03</v>
      </c>
      <c r="G17" s="4" t="n">
        <f aca="false">E17-F17</f>
        <v>-0.02</v>
      </c>
      <c r="H17" s="14" t="n">
        <f aca="false">(D17-C17)*100</f>
        <v>-1.0452727992938E-008</v>
      </c>
      <c r="I17" s="0" t="str">
        <f aca="false">IF(OR(AND(B17="OEM",ABS(D17-1)&gt;0.000001),AND(ABS(H17)&gt;10,ABS(G17)&gt;=7000000)),"SIM","não")</f>
        <v>não</v>
      </c>
    </row>
    <row r="18" customFormat="false" ht="15" hidden="false" customHeight="false" outlineLevel="0" collapsed="false">
      <c r="A18" s="0" t="s">
        <v>140</v>
      </c>
      <c r="B18" s="0" t="s">
        <v>119</v>
      </c>
      <c r="C18" s="0" t="n">
        <v>0.0775066257889042</v>
      </c>
      <c r="D18" s="0" t="n">
        <v>0.088131714477186</v>
      </c>
      <c r="E18" s="0" t="n">
        <v>13275740.06</v>
      </c>
      <c r="F18" s="0" t="n">
        <v>11675227.5</v>
      </c>
      <c r="G18" s="4" t="n">
        <f aca="false">E18-F18</f>
        <v>1600512.56</v>
      </c>
      <c r="H18" s="14" t="n">
        <f aca="false">(D18-C18)*100</f>
        <v>1.06250886882818</v>
      </c>
      <c r="I18" s="0" t="str">
        <f aca="false">IF(OR(AND(B18="OEM",ABS(D18-1)&gt;0.000001),AND(ABS(H18)&gt;10,ABS(G18)&gt;=7000000)),"SIM","não")</f>
        <v>não</v>
      </c>
    </row>
    <row r="19" customFormat="false" ht="15" hidden="false" customHeight="false" outlineLevel="0" collapsed="false">
      <c r="A19" s="0" t="s">
        <v>140</v>
      </c>
      <c r="B19" s="0" t="s">
        <v>166</v>
      </c>
      <c r="C19" s="0" t="n">
        <v>1</v>
      </c>
      <c r="D19" s="0" t="n">
        <v>1</v>
      </c>
      <c r="E19" s="0" t="n">
        <v>1225151.61</v>
      </c>
      <c r="F19" s="0" t="n">
        <v>1225151.61</v>
      </c>
      <c r="G19" s="4" t="n">
        <f aca="false">E19-F19</f>
        <v>0</v>
      </c>
      <c r="H19" s="14" t="n">
        <f aca="false">(D19-C19)*100</f>
        <v>0</v>
      </c>
      <c r="I19" s="0" t="str">
        <f aca="false">IF(OR(AND(B19="OEM",ABS(D19-1)&gt;0.000001),AND(ABS(H19)&gt;10,ABS(G19)&gt;=7000000)),"SIM","não")</f>
        <v>não</v>
      </c>
    </row>
    <row r="20" customFormat="false" ht="15" hidden="false" customHeight="false" outlineLevel="0" collapsed="false">
      <c r="A20" s="0" t="s">
        <v>141</v>
      </c>
      <c r="B20" s="0" t="s">
        <v>119</v>
      </c>
      <c r="C20" s="0" t="n">
        <v>0.0453133961076923</v>
      </c>
      <c r="D20" s="0" t="n">
        <v>0.0471065392429598</v>
      </c>
      <c r="E20" s="0" t="n">
        <v>101834781.44</v>
      </c>
      <c r="F20" s="0" t="n">
        <v>97958369.75</v>
      </c>
      <c r="G20" s="4" t="n">
        <f aca="false">E20-F20</f>
        <v>3876411.69</v>
      </c>
      <c r="H20" s="14" t="n">
        <f aca="false">(D20-C20)*100</f>
        <v>0.17931431352675</v>
      </c>
      <c r="I20" s="0" t="str">
        <f aca="false">IF(OR(AND(B20="OEM",ABS(D20-1)&gt;0.000001),AND(ABS(H20)&gt;10,ABS(G20)&gt;=7000000)),"SIM","não")</f>
        <v>não</v>
      </c>
    </row>
    <row r="21" customFormat="false" ht="15" hidden="false" customHeight="false" outlineLevel="0" collapsed="false">
      <c r="A21" s="0" t="s">
        <v>141</v>
      </c>
      <c r="B21" s="0" t="s">
        <v>166</v>
      </c>
      <c r="C21" s="0" t="n">
        <v>1</v>
      </c>
      <c r="D21" s="0" t="n">
        <v>1</v>
      </c>
      <c r="E21" s="0" t="n">
        <v>5321494.33</v>
      </c>
      <c r="F21" s="0" t="n">
        <v>5321494.33</v>
      </c>
      <c r="G21" s="4" t="n">
        <f aca="false">E21-F21</f>
        <v>0</v>
      </c>
      <c r="H21" s="14" t="n">
        <f aca="false">(D21-C21)*100</f>
        <v>0</v>
      </c>
      <c r="I21" s="0" t="str">
        <f aca="false">IF(OR(AND(B21="OEM",ABS(D21-1)&gt;0.000001),AND(ABS(H21)&gt;10,ABS(G21)&gt;=7000000)),"SIM","não")</f>
        <v>não</v>
      </c>
    </row>
    <row r="22" customFormat="false" ht="15" hidden="false" customHeight="false" outlineLevel="0" collapsed="false">
      <c r="A22" s="0" t="s">
        <v>142</v>
      </c>
      <c r="B22" s="0" t="s">
        <v>119</v>
      </c>
      <c r="C22" s="0" t="n">
        <v>0.0775066257451281</v>
      </c>
      <c r="D22" s="0" t="n">
        <v>0.0882619383741973</v>
      </c>
      <c r="E22" s="0" t="n">
        <v>44500634.51</v>
      </c>
      <c r="F22" s="0" t="n">
        <v>39077931.98</v>
      </c>
      <c r="G22" s="4" t="n">
        <f aca="false">E22-F22</f>
        <v>5422702.53</v>
      </c>
      <c r="H22" s="14" t="n">
        <f aca="false">(D22-C22)*100</f>
        <v>1.07553126290692</v>
      </c>
      <c r="I22" s="0" t="str">
        <f aca="false">IF(OR(AND(B22="OEM",ABS(D22-1)&gt;0.000001),AND(ABS(H22)&gt;10,ABS(G22)&gt;=7000000)),"SIM","não")</f>
        <v>não</v>
      </c>
    </row>
    <row r="23" customFormat="false" ht="15" hidden="false" customHeight="false" outlineLevel="0" collapsed="false">
      <c r="A23" s="0" t="s">
        <v>142</v>
      </c>
      <c r="B23" s="0" t="s">
        <v>166</v>
      </c>
      <c r="C23" s="0" t="n">
        <v>1</v>
      </c>
      <c r="D23" s="0" t="n">
        <v>1</v>
      </c>
      <c r="E23" s="0" t="n">
        <v>4106740.84</v>
      </c>
      <c r="F23" s="0" t="n">
        <v>4106740.84</v>
      </c>
      <c r="G23" s="4" t="n">
        <f aca="false">E23-F23</f>
        <v>0</v>
      </c>
      <c r="H23" s="14" t="n">
        <f aca="false">(D23-C23)*100</f>
        <v>0</v>
      </c>
      <c r="I23" s="0" t="str">
        <f aca="false">IF(OR(AND(B23="OEM",ABS(D23-1)&gt;0.000001),AND(ABS(H23)&gt;10,ABS(G23)&gt;=7000000)),"SIM","não")</f>
        <v>não</v>
      </c>
    </row>
    <row r="24" customFormat="false" ht="15" hidden="false" customHeight="false" outlineLevel="0" collapsed="false">
      <c r="A24" s="0" t="s">
        <v>143</v>
      </c>
      <c r="B24" s="0" t="s">
        <v>119</v>
      </c>
      <c r="C24" s="0" t="n">
        <v>1.75509108045162E-011</v>
      </c>
      <c r="D24" s="0" t="n">
        <v>5.93471455717881E-012</v>
      </c>
      <c r="E24" s="0" t="n">
        <v>0.01</v>
      </c>
      <c r="F24" s="0" t="n">
        <v>0.03</v>
      </c>
      <c r="G24" s="4" t="n">
        <f aca="false">E24-F24</f>
        <v>-0.02</v>
      </c>
      <c r="H24" s="14" t="n">
        <f aca="false">(D24-C24)*100</f>
        <v>-1.16161962473374E-009</v>
      </c>
      <c r="I24" s="0" t="str">
        <f aca="false">IF(OR(AND(B24="OEM",ABS(D24-1)&gt;0.000001),AND(ABS(H24)&gt;10,ABS(G24)&gt;=7000000)),"SIM","não")</f>
        <v>não</v>
      </c>
    </row>
    <row r="25" customFormat="false" ht="15" hidden="false" customHeight="false" outlineLevel="0" collapsed="false">
      <c r="A25" s="0" t="s">
        <v>144</v>
      </c>
      <c r="B25" s="0" t="s">
        <v>119</v>
      </c>
      <c r="C25" s="0" t="n">
        <v>0.0775066258327015</v>
      </c>
      <c r="D25" s="0" t="n">
        <v>0.0896057637833529</v>
      </c>
      <c r="E25" s="0" t="n">
        <v>6237771.39</v>
      </c>
      <c r="F25" s="0" t="n">
        <v>5395507.98</v>
      </c>
      <c r="G25" s="4" t="n">
        <f aca="false">E25-F25</f>
        <v>842263.409999999</v>
      </c>
      <c r="H25" s="14" t="n">
        <f aca="false">(D25-C25)*100</f>
        <v>1.20991379506514</v>
      </c>
      <c r="I25" s="0" t="str">
        <f aca="false">IF(OR(AND(B25="OEM",ABS(D25-1)&gt;0.000001),AND(ABS(H25)&gt;10,ABS(G25)&gt;=7000000)),"SIM","não")</f>
        <v>não</v>
      </c>
    </row>
    <row r="26" customFormat="false" ht="15" hidden="false" customHeight="false" outlineLevel="0" collapsed="false">
      <c r="A26" s="0" t="s">
        <v>144</v>
      </c>
      <c r="B26" s="0" t="s">
        <v>166</v>
      </c>
      <c r="C26" s="0" t="n">
        <v>1</v>
      </c>
      <c r="D26" s="0" t="n">
        <v>1</v>
      </c>
      <c r="E26" s="0" t="n">
        <v>575652.7</v>
      </c>
      <c r="F26" s="0" t="n">
        <v>575652.7</v>
      </c>
      <c r="G26" s="4" t="n">
        <f aca="false">E26-F26</f>
        <v>0</v>
      </c>
      <c r="H26" s="14" t="n">
        <f aca="false">(D26-C26)*100</f>
        <v>0</v>
      </c>
      <c r="I26" s="0" t="str">
        <f aca="false">IF(OR(AND(B26="OEM",ABS(D26-1)&gt;0.000001),AND(ABS(H26)&gt;10,ABS(G26)&gt;=7000000)),"SIM","não")</f>
        <v>não</v>
      </c>
    </row>
    <row r="27" customFormat="false" ht="15" hidden="false" customHeight="false" outlineLevel="0" collapsed="false">
      <c r="A27" s="0" t="s">
        <v>145</v>
      </c>
      <c r="B27" s="0" t="s">
        <v>119</v>
      </c>
      <c r="C27" s="0" t="n">
        <v>0.0581299694333332</v>
      </c>
      <c r="D27" s="0" t="n">
        <v>0.0194220908670637</v>
      </c>
      <c r="E27" s="0" t="n">
        <v>3467385.14</v>
      </c>
      <c r="F27" s="0" t="n">
        <v>10377821.5</v>
      </c>
      <c r="G27" s="4" t="n">
        <f aca="false">E27-F27</f>
        <v>-6910436.36</v>
      </c>
      <c r="H27" s="14" t="n">
        <f aca="false">(D27-C27)*100</f>
        <v>-3.87078785662695</v>
      </c>
      <c r="I27" s="0" t="str">
        <f aca="false">IF(OR(AND(B27="OEM",ABS(D27-1)&gt;0.000001),AND(ABS(H27)&gt;10,ABS(G27)&gt;=7000000)),"SIM","não")</f>
        <v>não</v>
      </c>
    </row>
    <row r="28" customFormat="false" ht="15" hidden="false" customHeight="false" outlineLevel="0" collapsed="false">
      <c r="A28" s="0" t="s">
        <v>145</v>
      </c>
      <c r="B28" s="0" t="s">
        <v>166</v>
      </c>
      <c r="C28" s="0" t="n">
        <v>0</v>
      </c>
      <c r="D28" s="0" t="n">
        <v>1</v>
      </c>
      <c r="E28" s="0" t="n">
        <v>589078.94</v>
      </c>
      <c r="F28" s="0" t="n">
        <v>0</v>
      </c>
      <c r="G28" s="4" t="n">
        <f aca="false">E28-F28</f>
        <v>589078.94</v>
      </c>
      <c r="H28" s="14" t="n">
        <f aca="false">(D28-C28)*100</f>
        <v>100</v>
      </c>
      <c r="I28" s="0" t="str">
        <f aca="false">IF(OR(AND(B28="OEM",ABS(D28-1)&gt;0.000001),AND(ABS(H28)&gt;10,ABS(G28)&gt;=7000000)),"SIM","não")</f>
        <v>não</v>
      </c>
    </row>
    <row r="29" customFormat="false" ht="15" hidden="false" customHeight="false" outlineLevel="0" collapsed="false">
      <c r="A29" s="0" t="s">
        <v>146</v>
      </c>
      <c r="B29" s="0" t="s">
        <v>119</v>
      </c>
      <c r="C29" s="0" t="n">
        <v>0.0775066257429125</v>
      </c>
      <c r="D29" s="0" t="n">
        <v>0.088760485072183</v>
      </c>
      <c r="E29" s="0" t="n">
        <v>60791242.8</v>
      </c>
      <c r="F29" s="0" t="n">
        <v>53083577.68</v>
      </c>
      <c r="G29" s="4" t="n">
        <f aca="false">E29-F29</f>
        <v>7707665.12</v>
      </c>
      <c r="H29" s="14" t="n">
        <f aca="false">(D29-C29)*100</f>
        <v>1.12538593292705</v>
      </c>
      <c r="I29" s="0" t="str">
        <f aca="false">IF(OR(AND(B29="OEM",ABS(D29-1)&gt;0.000001),AND(ABS(H29)&gt;10,ABS(G29)&gt;=7000000)),"SIM","não")</f>
        <v>não</v>
      </c>
    </row>
    <row r="30" customFormat="false" ht="15" hidden="false" customHeight="false" outlineLevel="0" collapsed="false">
      <c r="A30" s="0" t="s">
        <v>146</v>
      </c>
      <c r="B30" s="0" t="s">
        <v>166</v>
      </c>
      <c r="C30" s="0" t="n">
        <v>1</v>
      </c>
      <c r="D30" s="0" t="n">
        <v>1</v>
      </c>
      <c r="E30" s="0" t="n">
        <v>5610119.55</v>
      </c>
      <c r="F30" s="0" t="n">
        <v>5610119.55</v>
      </c>
      <c r="G30" s="4" t="n">
        <f aca="false">E30-F30</f>
        <v>0</v>
      </c>
      <c r="H30" s="14" t="n">
        <f aca="false">(D30-C30)*100</f>
        <v>0</v>
      </c>
      <c r="I30" s="0" t="str">
        <f aca="false">IF(OR(AND(B30="OEM",ABS(D30-1)&gt;0.000001),AND(ABS(H30)&gt;10,ABS(G30)&gt;=7000000)),"SIM","não")</f>
        <v>não</v>
      </c>
    </row>
    <row r="31" customFormat="false" ht="15" hidden="false" customHeight="false" outlineLevel="0" collapsed="false">
      <c r="A31" s="0" t="s">
        <v>147</v>
      </c>
      <c r="B31" s="0" t="s">
        <v>119</v>
      </c>
      <c r="C31" s="0" t="n">
        <v>0.0775066257682875</v>
      </c>
      <c r="D31" s="0" t="n">
        <v>0.0879049367357105</v>
      </c>
      <c r="E31" s="0" t="n">
        <v>16188228.91</v>
      </c>
      <c r="F31" s="0" t="n">
        <v>14273316.68</v>
      </c>
      <c r="G31" s="4" t="n">
        <f aca="false">E31-F31</f>
        <v>1914912.23</v>
      </c>
      <c r="H31" s="14" t="n">
        <f aca="false">(D31-C31)*100</f>
        <v>1.0398310967423</v>
      </c>
      <c r="I31" s="0" t="str">
        <f aca="false">IF(OR(AND(B31="OEM",ABS(D31-1)&gt;0.000001),AND(ABS(H31)&gt;10,ABS(G31)&gt;=7000000)),"SIM","não")</f>
        <v>não</v>
      </c>
    </row>
    <row r="32" customFormat="false" ht="15" hidden="false" customHeight="false" outlineLevel="0" collapsed="false">
      <c r="A32" s="0" t="s">
        <v>147</v>
      </c>
      <c r="B32" s="0" t="s">
        <v>166</v>
      </c>
      <c r="C32" s="0" t="n">
        <v>1</v>
      </c>
      <c r="D32" s="0" t="n">
        <v>1</v>
      </c>
      <c r="E32" s="0" t="n">
        <v>1493930.63</v>
      </c>
      <c r="F32" s="0" t="n">
        <v>1493930.63</v>
      </c>
      <c r="G32" s="4" t="n">
        <f aca="false">E32-F32</f>
        <v>0</v>
      </c>
      <c r="H32" s="14" t="n">
        <f aca="false">(D32-C32)*100</f>
        <v>0</v>
      </c>
      <c r="I32" s="0" t="str">
        <f aca="false">IF(OR(AND(B32="OEM",ABS(D32-1)&gt;0.000001),AND(ABS(H32)&gt;10,ABS(G32)&gt;=7000000)),"SIM","não")</f>
        <v>não</v>
      </c>
    </row>
    <row r="33" customFormat="false" ht="15" hidden="false" customHeight="false" outlineLevel="0" collapsed="false">
      <c r="A33" s="0" t="s">
        <v>148</v>
      </c>
      <c r="B33" s="0" t="s">
        <v>119</v>
      </c>
      <c r="C33" s="0" t="n">
        <v>0.0775066258377148</v>
      </c>
      <c r="D33" s="0" t="n">
        <v>0.0918515612812123</v>
      </c>
      <c r="E33" s="0" t="n">
        <v>6711992.71</v>
      </c>
      <c r="F33" s="0" t="n">
        <v>5663745.94</v>
      </c>
      <c r="G33" s="4" t="n">
        <f aca="false">E33-F33</f>
        <v>1048246.77</v>
      </c>
      <c r="H33" s="14" t="n">
        <f aca="false">(D33-C33)*100</f>
        <v>1.43449354434975</v>
      </c>
      <c r="I33" s="0" t="str">
        <f aca="false">IF(OR(AND(B33="OEM",ABS(D33-1)&gt;0.000001),AND(ABS(H33)&gt;10,ABS(G33)&gt;=7000000)),"SIM","não")</f>
        <v>não</v>
      </c>
    </row>
    <row r="34" customFormat="false" ht="15" hidden="false" customHeight="false" outlineLevel="0" collapsed="false">
      <c r="A34" s="0" t="s">
        <v>148</v>
      </c>
      <c r="B34" s="0" t="s">
        <v>166</v>
      </c>
      <c r="C34" s="0" t="n">
        <v>1</v>
      </c>
      <c r="D34" s="0" t="n">
        <v>1</v>
      </c>
      <c r="E34" s="0" t="n">
        <v>619416.22</v>
      </c>
      <c r="F34" s="0" t="n">
        <v>619416.22</v>
      </c>
      <c r="G34" s="4" t="n">
        <f aca="false">E34-F34</f>
        <v>0</v>
      </c>
      <c r="H34" s="14" t="n">
        <f aca="false">(D34-C34)*100</f>
        <v>0</v>
      </c>
      <c r="I34" s="0" t="str">
        <f aca="false">IF(OR(AND(B34="OEM",ABS(D34-1)&gt;0.000001),AND(ABS(H34)&gt;10,ABS(G34)&gt;=7000000)),"SIM","não")</f>
        <v>não</v>
      </c>
    </row>
    <row r="35" customFormat="false" ht="15" hidden="false" customHeight="false" outlineLevel="0" collapsed="false">
      <c r="A35" s="0" t="s">
        <v>149</v>
      </c>
      <c r="B35" s="0" t="s">
        <v>119</v>
      </c>
      <c r="C35" s="0" t="n">
        <v>0.0775066257482034</v>
      </c>
      <c r="D35" s="0" t="n">
        <v>0.089944534587906</v>
      </c>
      <c r="E35" s="0" t="n">
        <v>56688695.95</v>
      </c>
      <c r="F35" s="0" t="n">
        <v>48849544.46</v>
      </c>
      <c r="G35" s="4" t="n">
        <f aca="false">E35-F35</f>
        <v>7839151.49</v>
      </c>
      <c r="H35" s="14" t="n">
        <f aca="false">(D35-C35)*100</f>
        <v>1.24379088397026</v>
      </c>
      <c r="I35" s="0" t="str">
        <f aca="false">IF(OR(AND(B35="OEM",ABS(D35-1)&gt;0.000001),AND(ABS(H35)&gt;10,ABS(G35)&gt;=7000000)),"SIM","não")</f>
        <v>não</v>
      </c>
    </row>
    <row r="36" customFormat="false" ht="15" hidden="false" customHeight="false" outlineLevel="0" collapsed="false">
      <c r="A36" s="0" t="s">
        <v>149</v>
      </c>
      <c r="B36" s="0" t="s">
        <v>166</v>
      </c>
      <c r="C36" s="0" t="n">
        <v>1</v>
      </c>
      <c r="D36" s="0" t="n">
        <v>1</v>
      </c>
      <c r="E36" s="0" t="n">
        <v>5231516.03</v>
      </c>
      <c r="F36" s="0" t="n">
        <v>5231516.03</v>
      </c>
      <c r="G36" s="4" t="n">
        <f aca="false">E36-F36</f>
        <v>0</v>
      </c>
      <c r="H36" s="14" t="n">
        <f aca="false">(D36-C36)*100</f>
        <v>0</v>
      </c>
      <c r="I36" s="0" t="str">
        <f aca="false">IF(OR(AND(B36="OEM",ABS(D36-1)&gt;0.000001),AND(ABS(H36)&gt;10,ABS(G36)&gt;=7000000)),"SIM","não")</f>
        <v>não</v>
      </c>
    </row>
    <row r="37" customFormat="false" ht="15" hidden="false" customHeight="false" outlineLevel="0" collapsed="false">
      <c r="A37" s="0" t="s">
        <v>150</v>
      </c>
      <c r="B37" s="0" t="s">
        <v>119</v>
      </c>
      <c r="C37" s="0" t="n">
        <v>0.0775066259350703</v>
      </c>
      <c r="D37" s="0" t="n">
        <v>0.0895120620773611</v>
      </c>
      <c r="E37" s="0" t="n">
        <v>7563789.23</v>
      </c>
      <c r="F37" s="0" t="n">
        <v>6549327.2</v>
      </c>
      <c r="G37" s="4" t="n">
        <f aca="false">E37-F37</f>
        <v>1014462.03</v>
      </c>
      <c r="H37" s="14" t="n">
        <f aca="false">(D37-C37)*100</f>
        <v>1.20054361422908</v>
      </c>
      <c r="I37" s="0" t="str">
        <f aca="false">IF(OR(AND(B37="OEM",ABS(D37-1)&gt;0.000001),AND(ABS(H37)&gt;10,ABS(G37)&gt;=7000000)),"SIM","não")</f>
        <v>não</v>
      </c>
    </row>
    <row r="38" customFormat="false" ht="15" hidden="false" customHeight="false" outlineLevel="0" collapsed="false">
      <c r="A38" s="0" t="s">
        <v>150</v>
      </c>
      <c r="B38" s="0" t="s">
        <v>166</v>
      </c>
      <c r="C38" s="0" t="n">
        <v>1</v>
      </c>
      <c r="D38" s="0" t="n">
        <v>1</v>
      </c>
      <c r="E38" s="0" t="n">
        <v>698024.25</v>
      </c>
      <c r="F38" s="0" t="n">
        <v>698024.25</v>
      </c>
      <c r="G38" s="4" t="n">
        <f aca="false">E38-F38</f>
        <v>0</v>
      </c>
      <c r="H38" s="14" t="n">
        <f aca="false">(D38-C38)*100</f>
        <v>0</v>
      </c>
      <c r="I38" s="0" t="str">
        <f aca="false">IF(OR(AND(B38="OEM",ABS(D38-1)&gt;0.000001),AND(ABS(H38)&gt;10,ABS(G38)&gt;=7000000)),"SIM","não")</f>
        <v>não</v>
      </c>
    </row>
    <row r="39" customFormat="false" ht="15" hidden="false" customHeight="false" outlineLevel="0" collapsed="false">
      <c r="A39" s="0" t="s">
        <v>151</v>
      </c>
      <c r="B39" s="0" t="s">
        <v>119</v>
      </c>
      <c r="C39" s="0" t="n">
        <v>0.0775066257911781</v>
      </c>
      <c r="D39" s="0" t="n">
        <v>0.0893689643320107</v>
      </c>
      <c r="E39" s="0" t="n">
        <v>14439588.96</v>
      </c>
      <c r="F39" s="0" t="n">
        <v>12522958.35</v>
      </c>
      <c r="G39" s="4" t="n">
        <f aca="false">E39-F39</f>
        <v>1916630.61</v>
      </c>
      <c r="H39" s="14" t="n">
        <f aca="false">(D39-C39)*100</f>
        <v>1.18623385408326</v>
      </c>
      <c r="I39" s="0" t="str">
        <f aca="false">IF(OR(AND(B39="OEM",ABS(D39-1)&gt;0.000001),AND(ABS(H39)&gt;10,ABS(G39)&gt;=7000000)),"SIM","não")</f>
        <v>não</v>
      </c>
    </row>
    <row r="40" customFormat="false" ht="15" hidden="false" customHeight="false" outlineLevel="0" collapsed="false">
      <c r="A40" s="0" t="s">
        <v>151</v>
      </c>
      <c r="B40" s="0" t="s">
        <v>166</v>
      </c>
      <c r="C40" s="0" t="n">
        <v>1</v>
      </c>
      <c r="D40" s="0" t="n">
        <v>1</v>
      </c>
      <c r="E40" s="0" t="n">
        <v>1332557.4</v>
      </c>
      <c r="F40" s="0" t="n">
        <v>1332557.4</v>
      </c>
      <c r="G40" s="4" t="n">
        <f aca="false">E40-F40</f>
        <v>0</v>
      </c>
      <c r="H40" s="14" t="n">
        <f aca="false">(D40-C40)*100</f>
        <v>0</v>
      </c>
      <c r="I40" s="0" t="str">
        <f aca="false">IF(OR(AND(B40="OEM",ABS(D40-1)&gt;0.000001),AND(ABS(H40)&gt;10,ABS(G40)&gt;=7000000)),"SIM","não")</f>
        <v>não</v>
      </c>
    </row>
    <row r="41" customFormat="false" ht="15" hidden="false" customHeight="false" outlineLevel="0" collapsed="false">
      <c r="A41" s="0" t="s">
        <v>152</v>
      </c>
      <c r="B41" s="0" t="s">
        <v>119</v>
      </c>
      <c r="C41" s="0" t="n">
        <v>0.0775066257520923</v>
      </c>
      <c r="D41" s="0" t="n">
        <v>0.0913216183920946</v>
      </c>
      <c r="E41" s="0" t="n">
        <v>51749914.25</v>
      </c>
      <c r="F41" s="0" t="n">
        <v>43921267.57</v>
      </c>
      <c r="G41" s="4" t="n">
        <f aca="false">E41-F41</f>
        <v>7828646.68</v>
      </c>
      <c r="H41" s="14" t="n">
        <f aca="false">(D41-C41)*100</f>
        <v>1.38149926400023</v>
      </c>
      <c r="I41" s="0" t="str">
        <f aca="false">IF(OR(AND(B41="OEM",ABS(D41-1)&gt;0.000001),AND(ABS(H41)&gt;10,ABS(G41)&gt;=7000000)),"SIM","não")</f>
        <v>não</v>
      </c>
    </row>
    <row r="42" customFormat="false" ht="15" hidden="false" customHeight="false" outlineLevel="0" collapsed="false">
      <c r="A42" s="0" t="s">
        <v>152</v>
      </c>
      <c r="B42" s="0" t="s">
        <v>166</v>
      </c>
      <c r="C42" s="0" t="n">
        <v>1</v>
      </c>
      <c r="D42" s="0" t="n">
        <v>1</v>
      </c>
      <c r="E42" s="0" t="n">
        <v>4775740.59</v>
      </c>
      <c r="F42" s="0" t="n">
        <v>4775740.59</v>
      </c>
      <c r="G42" s="4" t="n">
        <f aca="false">E42-F42</f>
        <v>0</v>
      </c>
      <c r="H42" s="14" t="n">
        <f aca="false">(D42-C42)*100</f>
        <v>0</v>
      </c>
      <c r="I42" s="0" t="str">
        <f aca="false">IF(OR(AND(B42="OEM",ABS(D42-1)&gt;0.000001),AND(ABS(H42)&gt;10,ABS(G42)&gt;=7000000)),"SIM","não")</f>
        <v>não</v>
      </c>
    </row>
    <row r="43" customFormat="false" ht="15" hidden="false" customHeight="false" outlineLevel="0" collapsed="false">
      <c r="A43" s="0" t="s">
        <v>153</v>
      </c>
      <c r="B43" s="0" t="s">
        <v>119</v>
      </c>
      <c r="C43" s="0" t="n">
        <v>0.077506625768998</v>
      </c>
      <c r="D43" s="0" t="n">
        <v>0.0878479690997559</v>
      </c>
      <c r="E43" s="0" t="n">
        <v>18899235.12</v>
      </c>
      <c r="F43" s="0" t="n">
        <v>16674442.89</v>
      </c>
      <c r="G43" s="4" t="n">
        <f aca="false">E43-F43</f>
        <v>2224792.23</v>
      </c>
      <c r="H43" s="14" t="n">
        <f aca="false">(D43-C43)*100</f>
        <v>1.03413433307579</v>
      </c>
      <c r="I43" s="0" t="str">
        <f aca="false">IF(OR(AND(B43="OEM",ABS(D43-1)&gt;0.000001),AND(ABS(H43)&gt;10,ABS(G43)&gt;=7000000)),"SIM","não")</f>
        <v>não</v>
      </c>
    </row>
    <row r="44" customFormat="false" ht="15" hidden="false" customHeight="false" outlineLevel="0" collapsed="false">
      <c r="A44" s="0" t="s">
        <v>153</v>
      </c>
      <c r="B44" s="0" t="s">
        <v>166</v>
      </c>
      <c r="C44" s="0" t="n">
        <v>1</v>
      </c>
      <c r="D44" s="0" t="n">
        <v>1</v>
      </c>
      <c r="E44" s="0" t="n">
        <v>1744115.82</v>
      </c>
      <c r="F44" s="0" t="n">
        <v>1744115.82</v>
      </c>
      <c r="G44" s="4" t="n">
        <f aca="false">E44-F44</f>
        <v>0</v>
      </c>
      <c r="H44" s="14" t="n">
        <f aca="false">(D44-C44)*100</f>
        <v>0</v>
      </c>
      <c r="I44" s="0" t="str">
        <f aca="false">IF(OR(AND(B44="OEM",ABS(D44-1)&gt;0.000001),AND(ABS(H44)&gt;10,ABS(G44)&gt;=7000000)),"SIM","não")</f>
        <v>não</v>
      </c>
    </row>
    <row r="45" customFormat="false" ht="15" hidden="false" customHeight="false" outlineLevel="0" collapsed="false">
      <c r="A45" s="0" t="s">
        <v>154</v>
      </c>
      <c r="B45" s="0" t="s">
        <v>119</v>
      </c>
      <c r="C45" s="0" t="n">
        <v>0.0775066257538673</v>
      </c>
      <c r="D45" s="0" t="n">
        <v>0.0884131710034245</v>
      </c>
      <c r="E45" s="0" t="n">
        <v>56210379.44</v>
      </c>
      <c r="F45" s="0" t="n">
        <v>49276332.85</v>
      </c>
      <c r="G45" s="4" t="n">
        <f aca="false">E45-F45</f>
        <v>6934046.59</v>
      </c>
      <c r="H45" s="14" t="n">
        <f aca="false">(D45-C45)*100</f>
        <v>1.09065452495572</v>
      </c>
      <c r="I45" s="0" t="str">
        <f aca="false">IF(OR(AND(B45="OEM",ABS(D45-1)&gt;0.000001),AND(ABS(H45)&gt;10,ABS(G45)&gt;=7000000)),"SIM","não")</f>
        <v>não</v>
      </c>
    </row>
    <row r="46" customFormat="false" ht="15" hidden="false" customHeight="false" outlineLevel="0" collapsed="false">
      <c r="A46" s="0" t="s">
        <v>154</v>
      </c>
      <c r="B46" s="0" t="s">
        <v>166</v>
      </c>
      <c r="C46" s="0" t="n">
        <v>1</v>
      </c>
      <c r="D46" s="0" t="n">
        <v>1</v>
      </c>
      <c r="E46" s="0" t="n">
        <v>5187374.6</v>
      </c>
      <c r="F46" s="0" t="n">
        <v>5187374.6</v>
      </c>
      <c r="G46" s="4" t="n">
        <f aca="false">E46-F46</f>
        <v>0</v>
      </c>
      <c r="H46" s="14" t="n">
        <f aca="false">(D46-C46)*100</f>
        <v>0</v>
      </c>
      <c r="I46" s="0" t="str">
        <f aca="false">IF(OR(AND(B46="OEM",ABS(D46-1)&gt;0.000001),AND(ABS(H46)&gt;10,ABS(G46)&gt;=7000000)),"SIM","não")</f>
        <v>não</v>
      </c>
    </row>
    <row r="47" customFormat="false" ht="15" hidden="false" customHeight="false" outlineLevel="0" collapsed="false">
      <c r="A47" s="0" t="s">
        <v>155</v>
      </c>
      <c r="B47" s="0" t="s">
        <v>119</v>
      </c>
      <c r="C47" s="0" t="n">
        <v>0.0775066258133309</v>
      </c>
      <c r="D47" s="0" t="n">
        <v>0.0878888034192375</v>
      </c>
      <c r="E47" s="0" t="n">
        <v>12778585.76</v>
      </c>
      <c r="F47" s="0" t="n">
        <v>11269069.85</v>
      </c>
      <c r="G47" s="4" t="n">
        <f aca="false">E47-F47</f>
        <v>1509515.91</v>
      </c>
      <c r="H47" s="14" t="n">
        <f aca="false">(D47-C47)*100</f>
        <v>1.03821776059066</v>
      </c>
      <c r="I47" s="0" t="str">
        <f aca="false">IF(OR(AND(B47="OEM",ABS(D47-1)&gt;0.000001),AND(ABS(H47)&gt;10,ABS(G47)&gt;=7000000)),"SIM","não")</f>
        <v>não</v>
      </c>
    </row>
    <row r="48" customFormat="false" ht="15" hidden="false" customHeight="false" outlineLevel="0" collapsed="false">
      <c r="A48" s="0" t="s">
        <v>155</v>
      </c>
      <c r="B48" s="0" t="s">
        <v>166</v>
      </c>
      <c r="C48" s="0" t="n">
        <v>1</v>
      </c>
      <c r="D48" s="0" t="n">
        <v>1</v>
      </c>
      <c r="E48" s="0" t="n">
        <v>1179271.73</v>
      </c>
      <c r="F48" s="0" t="n">
        <v>1179271.73</v>
      </c>
      <c r="G48" s="4" t="n">
        <f aca="false">E48-F48</f>
        <v>0</v>
      </c>
      <c r="H48" s="14" t="n">
        <f aca="false">(D48-C48)*100</f>
        <v>0</v>
      </c>
      <c r="I48" s="0" t="str">
        <f aca="false">IF(OR(AND(B48="OEM",ABS(D48-1)&gt;0.000001),AND(ABS(H48)&gt;10,ABS(G48)&gt;=7000000)),"SIM","não")</f>
        <v>não</v>
      </c>
    </row>
    <row r="49" customFormat="false" ht="15" hidden="false" customHeight="false" outlineLevel="0" collapsed="false">
      <c r="A49" s="0" t="s">
        <v>156</v>
      </c>
      <c r="B49" s="0" t="s">
        <v>119</v>
      </c>
      <c r="C49" s="0" t="n">
        <v>0.0775066257486061</v>
      </c>
      <c r="D49" s="0" t="n">
        <v>0.168467869396424</v>
      </c>
      <c r="E49" s="0" t="n">
        <v>125105919.74</v>
      </c>
      <c r="F49" s="0" t="n">
        <v>57557193.16</v>
      </c>
      <c r="G49" s="4" t="n">
        <f aca="false">E49-F49</f>
        <v>67548726.58</v>
      </c>
      <c r="H49" s="14" t="n">
        <f aca="false">(D49-C49)*100</f>
        <v>9.09612436478181</v>
      </c>
      <c r="I49" s="0" t="str">
        <f aca="false">IF(OR(AND(B49="OEM",ABS(D49-1)&gt;0.000001),AND(ABS(H49)&gt;10,ABS(G49)&gt;=7000000)),"SIM","não")</f>
        <v>não</v>
      </c>
    </row>
    <row r="50" customFormat="false" ht="15" hidden="false" customHeight="false" outlineLevel="0" collapsed="false">
      <c r="A50" s="0" t="s">
        <v>156</v>
      </c>
      <c r="B50" s="0" t="s">
        <v>166</v>
      </c>
      <c r="C50" s="0" t="n">
        <v>1</v>
      </c>
      <c r="D50" s="0" t="n">
        <v>1</v>
      </c>
      <c r="E50" s="0" t="n">
        <v>6008299.49</v>
      </c>
      <c r="F50" s="0" t="n">
        <v>6008299.49</v>
      </c>
      <c r="G50" s="4" t="n">
        <f aca="false">E50-F50</f>
        <v>0</v>
      </c>
      <c r="H50" s="14" t="n">
        <f aca="false">(D50-C50)*100</f>
        <v>0</v>
      </c>
      <c r="I50" s="0" t="str">
        <f aca="false">IF(OR(AND(B50="OEM",ABS(D50-1)&gt;0.000001),AND(ABS(H50)&gt;10,ABS(G50)&gt;=7000000)),"SIM","não")</f>
        <v>não</v>
      </c>
    </row>
    <row r="51" customFormat="false" ht="15" hidden="false" customHeight="false" outlineLevel="0" collapsed="false">
      <c r="A51" s="0" t="s">
        <v>157</v>
      </c>
      <c r="B51" s="0" t="s">
        <v>119</v>
      </c>
      <c r="C51" s="0" t="n">
        <v>0.145935347152577</v>
      </c>
      <c r="D51" s="0" t="n">
        <v>0.142970929756247</v>
      </c>
      <c r="E51" s="0" t="n">
        <v>1631425106.81</v>
      </c>
      <c r="F51" s="0" t="n">
        <v>1665251738.39</v>
      </c>
      <c r="G51" s="4" t="n">
        <f aca="false">E51-F51</f>
        <v>-33826631.5800002</v>
      </c>
      <c r="H51" s="14" t="n">
        <f aca="false">(D51-C51)*100</f>
        <v>-0.29644173963306</v>
      </c>
      <c r="I51" s="0" t="str">
        <f aca="false">IF(OR(AND(B51="OEM",ABS(D51-1)&gt;0.000001),AND(ABS(H51)&gt;10,ABS(G51)&gt;=7000000)),"SIM","não")</f>
        <v>não</v>
      </c>
    </row>
    <row r="52" customFormat="false" ht="15" hidden="false" customHeight="false" outlineLevel="0" collapsed="false">
      <c r="A52" s="0" t="s">
        <v>157</v>
      </c>
      <c r="B52" s="0" t="s">
        <v>166</v>
      </c>
      <c r="C52" s="0" t="n">
        <v>1</v>
      </c>
      <c r="D52" s="0" t="n">
        <v>1</v>
      </c>
      <c r="E52" s="0" t="n">
        <v>85252042.95</v>
      </c>
      <c r="F52" s="0" t="n">
        <v>85252042.95</v>
      </c>
      <c r="G52" s="4" t="n">
        <f aca="false">E52-F52</f>
        <v>0</v>
      </c>
      <c r="H52" s="14" t="n">
        <f aca="false">(D52-C52)*100</f>
        <v>0</v>
      </c>
      <c r="I52" s="0" t="str">
        <f aca="false">IF(OR(AND(B52="OEM",ABS(D52-1)&gt;0.000001),AND(ABS(H52)&gt;10,ABS(G52)&gt;=7000000)),"SIM","não")</f>
        <v>não</v>
      </c>
    </row>
    <row r="53" customFormat="false" ht="15" hidden="false" customHeight="false" outlineLevel="0" collapsed="false">
      <c r="A53" s="0" t="s">
        <v>157</v>
      </c>
      <c r="B53" s="0" t="s">
        <v>167</v>
      </c>
      <c r="C53" s="0" t="n">
        <v>0.0384078586017493</v>
      </c>
      <c r="D53" s="0" t="n">
        <v>0.0442868041295089</v>
      </c>
      <c r="E53" s="0" t="n">
        <v>137813758.57</v>
      </c>
      <c r="F53" s="0" t="n">
        <v>119519379.57</v>
      </c>
      <c r="G53" s="4" t="n">
        <f aca="false">E53-F53</f>
        <v>18294379</v>
      </c>
      <c r="H53" s="14" t="n">
        <f aca="false">(D53-C53)*100</f>
        <v>0.58789455277596</v>
      </c>
      <c r="I53" s="0" t="str">
        <f aca="false">IF(OR(AND(B53="OEM",ABS(D53-1)&gt;0.000001),AND(ABS(H53)&gt;10,ABS(G53)&gt;=7000000)),"SIM","não")</f>
        <v>não</v>
      </c>
    </row>
    <row r="54" customFormat="false" ht="15" hidden="false" customHeight="false" outlineLevel="0" collapsed="false">
      <c r="A54" s="0" t="s">
        <v>157</v>
      </c>
      <c r="B54" s="0" t="s">
        <v>168</v>
      </c>
      <c r="C54" s="0" t="n">
        <v>0.243031258700102</v>
      </c>
      <c r="D54" s="0" t="n">
        <v>0.449107010887604</v>
      </c>
      <c r="E54" s="0" t="n">
        <v>1397735540.17</v>
      </c>
      <c r="F54" s="0" t="n">
        <v>756375250.05</v>
      </c>
      <c r="G54" s="4" t="n">
        <f aca="false">E54-F54</f>
        <v>641360290.12</v>
      </c>
      <c r="H54" s="14" t="n">
        <f aca="false">(D54-C54)*100</f>
        <v>20.6075752187502</v>
      </c>
      <c r="I54" s="0" t="str">
        <f aca="false">IF(OR(AND(B54="OEM",ABS(D54-1)&gt;0.000001),AND(ABS(H54)&gt;10,ABS(G54)&gt;=7000000)),"SIM","não")</f>
        <v>SIM</v>
      </c>
    </row>
    <row r="55" customFormat="false" ht="15" hidden="false" customHeight="false" outlineLevel="0" collapsed="false">
      <c r="A55" s="0" t="s">
        <v>158</v>
      </c>
      <c r="B55" s="0" t="s">
        <v>119</v>
      </c>
      <c r="C55" s="0" t="n">
        <v>0.0775066257857924</v>
      </c>
      <c r="D55" s="0" t="n">
        <v>0.0894610716284823</v>
      </c>
      <c r="E55" s="0" t="n">
        <v>16295522.51</v>
      </c>
      <c r="F55" s="0" t="n">
        <v>14117995.04</v>
      </c>
      <c r="G55" s="4" t="n">
        <f aca="false">E55-F55</f>
        <v>2177527.47</v>
      </c>
      <c r="H55" s="14" t="n">
        <f aca="false">(D55-C55)*100</f>
        <v>1.19544458426899</v>
      </c>
      <c r="I55" s="0" t="str">
        <f aca="false">IF(OR(AND(B55="OEM",ABS(D55-1)&gt;0.000001),AND(ABS(H55)&gt;10,ABS(G55)&gt;=7000000)),"SIM","não")</f>
        <v>não</v>
      </c>
    </row>
    <row r="56" customFormat="false" ht="15" hidden="false" customHeight="false" outlineLevel="0" collapsed="false">
      <c r="A56" s="0" t="s">
        <v>158</v>
      </c>
      <c r="B56" s="0" t="s">
        <v>166</v>
      </c>
      <c r="C56" s="0" t="n">
        <v>1</v>
      </c>
      <c r="D56" s="0" t="n">
        <v>1</v>
      </c>
      <c r="E56" s="0" t="n">
        <v>1503832.21</v>
      </c>
      <c r="F56" s="0" t="n">
        <v>1503832.21</v>
      </c>
      <c r="G56" s="4" t="n">
        <f aca="false">E56-F56</f>
        <v>0</v>
      </c>
      <c r="H56" s="14" t="n">
        <f aca="false">(D56-C56)*100</f>
        <v>0</v>
      </c>
      <c r="I56" s="0" t="str">
        <f aca="false">IF(OR(AND(B56="OEM",ABS(D56-1)&gt;0.000001),AND(ABS(H56)&gt;10,ABS(G56)&gt;=7000000)),"SIM","não")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2026-10-21T05:34:08Z</dcterms:created>
  <dc:creator>openpyxl</dc:creator>
  <dc:description/>
  <dc:language>en-US</dc:language>
  <cp:lastModifiedBy/>
  <dcterms:modified xsi:type="dcterms:W3CDTF">2026-10-21T05:34:08Z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