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683df2ac3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bb200e1d6103447f"/>
    <x:sheet xmlns:r="http://schemas.openxmlformats.org/officeDocument/2006/relationships" name="Estoques" sheetId="2" r:id="Ref5c72f3c42749bf"/>
    <x:sheet xmlns:r="http://schemas.openxmlformats.org/officeDocument/2006/relationships" name="Contagem_PA" sheetId="3" r:id="R2001809324324e26"/>
    <x:sheet xmlns:r="http://schemas.openxmlformats.org/officeDocument/2006/relationships" name="Provisoes_mov" sheetId="4" r:id="R920426ba87a54df8"/>
    <x:sheet xmlns:r="http://schemas.openxmlformats.org/officeDocument/2006/relationships" name="Possiveis" sheetId="5" r:id="Ree6d4e1bf3c44ce8"/>
    <x:sheet xmlns:r="http://schemas.openxmlformats.org/officeDocument/2006/relationships" name="Casos_relevantes" sheetId="6" r:id="R15471e83efae4d2b"/>
    <x:sheet xmlns:r="http://schemas.openxmlformats.org/officeDocument/2006/relationships" name="Segmentos" sheetId="7" r:id="Ra1bc49a9b1594e32"/>
    <x:sheet xmlns:r="http://schemas.openxmlformats.org/officeDocument/2006/relationships" name="Procedimentos_PA" sheetId="8" r:id="R2f77b86cf3924413"/>
  </x:sheets>
</x:workbook>
</file>

<file path=xl/sharedStrings.xml><?xml version="1.0" encoding="utf-8"?>
<x:sst xmlns:x="http://schemas.openxmlformats.org/spreadsheetml/2006/main">
  <x:si>
    <x:t xml:space="preserve">PT 501 – Itens específicos (estoques; litígios e reclamações; informações por segmento) – ISA Energia Brasil 2025</x:t>
  </x:si>
  <x:si>
    <x:t xml:space="preserve">NBC TA 501 (F0001 p.471–483): it. 4–8 estoques; it. 9–12 litígios; it. 13 segmentos. Aplicabilidade fundamentada em cada aba.</x:t>
  </x:si>
  <x:si>
    <x:t xml:space="preserve">NÃO houve presença em inventário, contato com advogados, inspeção ou acesso a sistemas. As abas Contagem_PA e Procedimentos_PA só PLANEJAM.</x:t>
  </x:si>
  <x:si>
    <x:t xml:space="preserve">Data de corte da pesquisa: 21/10/2026, 18h29 (Brasília) – RI, CVM (RAD, entregas até 21/10/2026) e fontes listadas. A atualizar na revisão final (P48).</x:t>
  </x:si>
  <x:si>
    <x:t xml:space="preserve">Células amarelas = dados transcritos (fonte e página na coluna própria) ou premissas; demais = fórmulas.</x:t>
  </x:si>
  <x:si>
    <x:t xml:space="preserve">Modalidades: [RP] realizado com evidência pública; [PA] planejado/não executável sem acesso; [SD] simulado didático.</x:t>
  </x:si>
  <x:si>
    <x:t xml:space="preserve">Preparado por: matrícula 241003689 (execução assistida por IA) em 21/10/2026. Revisão humana: ____________ (em branco).</x:t>
  </x:si>
  <x:si>
    <x:t xml:space="preserve">Linha</x:t>
  </x:si>
  <x:si>
    <x:t xml:space="preserve">Controladora 2025</x:t>
  </x:si>
  <x:si>
    <x:t xml:space="preserve">Controladora 2024</x:t>
  </x:si>
  <x:si>
    <x:t xml:space="preserve">Consolidado 2025</x:t>
  </x:si>
  <x:si>
    <x:t xml:space="preserve">Consolidado 2024</x:t>
  </x:si>
  <x:si>
    <x:t xml:space="preserve">Fonte</x:t>
  </x:si>
  <x:si>
    <x:t xml:space="preserve">Observação</x:t>
  </x:si>
  <x:si>
    <x:t xml:space="preserve">Estoques – circulante</x:t>
  </x:si>
  <x:si>
    <x:t xml:space="preserve">F0003 p.23</x:t>
  </x:si>
  <x:si>
    <x:t xml:space="preserve">Estoques – realizável a longo prazo</x:t>
  </x:si>
  <x:si>
    <x:t xml:space="preserve">Total de estoques</x:t>
  </x:si>
  <x:si>
    <x:t xml:space="preserve">Fórmula</x:t>
  </x:si>
  <x:si>
    <x:t xml:space="preserve">Variação no ano (redução = positivo)</x:t>
  </x:si>
  <x:si>
    <x:t xml:space="preserve">Comparar com a DFC</x:t>
  </x:si>
  <x:si>
    <x:t xml:space="preserve">DFC – (aumento) diminuição de estoques</x:t>
  </x:si>
  <x:si>
    <x:t xml:space="preserve">F0003 p.29</x:t>
  </x:si>
  <x:si>
    <x:t xml:space="preserve">Diferença variação do BP × DFC (2025)</x:t>
  </x:si>
  <x:si>
    <x:t xml:space="preserve">Deve ser 0</x:t>
  </x:si>
  <x:si>
    <x:t xml:space="preserve">Variação % (2025 × 2024)</x:t>
  </x:si>
  <x:si>
    <x:t xml:space="preserve">ESQ-02 do PT 330 cita −28,6% (consolidado)</x:t>
  </x:si>
  <x:si>
    <x:t xml:space="preserve">Total do ativo</x:t>
  </x:si>
  <x:si>
    <x:t xml:space="preserve">Estoques / total do ativo</x:t>
  </x:si>
  <x:si>
    <x:t xml:space="preserve">Estoques / ME (90.000)</x:t>
  </x:si>
  <x:si>
    <x:t xml:space="preserve">D-014</x:t>
  </x:si>
  <x:si>
    <x:t xml:space="preserve">&gt; 1 = acima da ME → relevante por tamanho (501 it. 4)</x:t>
  </x:si>
  <x:si>
    <x:t xml:space="preserve">Ajuste societário → regulatório (circulante)</x:t>
  </x:si>
  <x:si>
    <x:t xml:space="preserve">F0003 p.123 (não auditado)</x:t>
  </x:si>
  <x:si>
    <x:t xml:space="preserve">Conciliação BP societário × regulatório</x:t>
  </x:si>
  <x:si>
    <x:t xml:space="preserve">Ajuste societário → regulatório (longo prazo)</x:t>
  </x:si>
  <x:si>
    <x:t xml:space="preserve">O saldo de LP é integralmente excluído no regulatório: natureza a entender [PA] (P53)</x:t>
  </x:si>
  <x:si>
    <x:t xml:space="preserve">Nota explicativa específica de estoques / política contábil</x:t>
  </x:si>
  <x:si>
    <x:t xml:space="preserve">Não localizada</x:t>
  </x:si>
  <x:si>
    <x:t xml:space="preserve">Busca no texto F0003 (21/10/2026)</x:t>
  </x:si>
  <x:si>
    <x:t xml:space="preserve">Única outra menção: comodatos de materiais entre controladas (p.111). Ver P53</x:t>
  </x:si>
  <x:si>
    <x:t xml:space="preserve">Aplicabilidade do it. 4 (julgamento)</x:t>
  </x:si>
  <x:si>
    <x:t xml:space="preserve">Item 501</x:t>
  </x:si>
  <x:si>
    <x:t xml:space="preserve">Procedimento planejado (não executado)</x:t>
  </x:si>
  <x:si>
    <x:t xml:space="preserve">Modalidade</x:t>
  </x:si>
  <x:si>
    <x:t xml:space="preserve">Evidência esperada</x:t>
  </x:si>
  <x:si>
    <x:t xml:space="preserve">Situação</x:t>
  </x:si>
  <x:si>
    <x:t xml:space="preserve">4(a)(i)</x:t>
  </x:si>
  <x:si>
    <x:t xml:space="preserve">Avaliar instruções e procedimentos da administração para registrar e controlar a contagem (almoxarifados de manutenção e de obras)</x:t>
  </x:si>
  <x:si>
    <x:t xml:space="preserve">[PA]</x:t>
  </x:si>
  <x:si>
    <x:t xml:space="preserve">Instruções de inventário; cronograma; lista de almoxarifados com saldo</x:t>
  </x:si>
  <x:si>
    <x:t xml:space="preserve">Não executado – sem acesso (limitação acadêmica)</x:t>
  </x:si>
  <x:si>
    <x:t xml:space="preserve">4(a)(ii)</x:t>
  </x:si>
  <x:si>
    <x:t xml:space="preserve">Memorando de observação</x:t>
  </x:si>
  <x:si>
    <x:t xml:space="preserve">4(a)(iii)</x:t>
  </x:si>
  <x:si>
    <x:t xml:space="preserve">Inspecionar o estoque (condição física, itens obsoletos, sobressalentes de longa permanência – saldo de LP)</x:t>
  </x:si>
  <x:si>
    <x:t xml:space="preserve">Registro de inspeção; lista de itens danificados</x:t>
  </x:si>
  <x:si>
    <x:t xml:space="preserve">4(a)(iv)</x:t>
  </x:si>
  <x:si>
    <x:t xml:space="preserve">Testes de contagem: físico → registro e registro → físico</x:t>
  </x:si>
  <x:si>
    <x:t xml:space="preserve">Folhas de teste</x:t>
  </x:si>
  <x:si>
    <x:t xml:space="preserve">4(b)</x:t>
  </x:si>
  <x:si>
    <x:t xml:space="preserve">Conferir os registros finais com os resultados da contagem</x:t>
  </x:si>
  <x:si>
    <x:t xml:space="preserve">Conciliação contagem × razão</x:t>
  </x:si>
  <x:si>
    <x:t xml:space="preserve">5</x:t>
  </x:si>
  <x:si>
    <x:t xml:space="preserve">Se a contagem não for em 31/12/2025: testar as movimentações entre a data da contagem e 31/12</x:t>
  </x:si>
  <x:si>
    <x:t xml:space="preserve">Roll-forward/roll-back</x:t>
  </x:si>
  <x:si>
    <x:t xml:space="preserve">6–7</x:t>
  </x:si>
  <x:si>
    <x:t xml:space="preserve">Se a presença for impossível/impraticável: contagens em data alternativa ou procedimentos alternativos; sem evidência → modificar a opinião (NBC TA 705)</x:t>
  </x:si>
  <x:si>
    <x:t xml:space="preserve">Justificativa documentada</x:t>
  </x:si>
  <x:si>
    <x:t xml:space="preserve">8</x:t>
  </x:si>
  <x:si>
    <x:t xml:space="preserve">Estoques com terceiros (ex.: materiais em canteiros de obra de empreiteiras; comodatos entre controladas, F0003 p.111): confirmação ou inspeção</x:t>
  </x:si>
  <x:si>
    <x:t xml:space="preserve">Confirmação de terceiros – modelo M505-08</x:t>
  </x:si>
  <x:si>
    <x:t xml:space="preserve">Analítico</x:t>
  </x:si>
  <x:si>
    <x:t xml:space="preserve">Variação −28,6% e classificação circulante × LP; DFC × BP (aba Estoques)</x:t>
  </x:si>
  <x:si>
    <x:t xml:space="preserve">[RP]</x:t>
  </x:si>
  <x:si>
    <x:t xml:space="preserve">Aba Estoques</x:t>
  </x:si>
  <x:si>
    <x:t xml:space="preserve">Executado – público</x:t>
  </x:si>
  <x:si>
    <x:t xml:space="preserve">Perímetro</x:t>
  </x:si>
  <x:si>
    <x:t xml:space="preserve">Movimento</x:t>
  </x:si>
  <x:si>
    <x:t xml:space="preserve">Trabalhista</x:t>
  </x:si>
  <x:si>
    <x:t xml:space="preserve">Cível</x:t>
  </x:si>
  <x:si>
    <x:t xml:space="preserve">IPTU</x:t>
  </x:si>
  <x:si>
    <x:t xml:space="preserve">Fundiárias</x:t>
  </x:si>
  <x:si>
    <x:t xml:space="preserve">Outros</x:t>
  </x:si>
  <x:si>
    <x:t xml:space="preserve">Total transcrito</x:t>
  </x:si>
  <x:si>
    <x:t xml:space="preserve">Total recalculado</x:t>
  </x:si>
  <x:si>
    <x:t xml:space="preserve">Diferença</x:t>
  </x:si>
  <x:si>
    <x:t xml:space="preserve">Controladora</x:t>
  </x:si>
  <x:si>
    <x:t xml:space="preserve">Saldos em 2024</x:t>
  </x:si>
  <x:si>
    <x:t xml:space="preserve">Constituição</x:t>
  </x:si>
  <x:si>
    <x:t xml:space="preserve">Reversão</x:t>
  </x:si>
  <x:si>
    <x:t xml:space="preserve">Pagamento</x:t>
  </x:si>
  <x:si>
    <x:t xml:space="preserve">Atualização</x:t>
  </x:si>
  <x:si>
    <x:t xml:space="preserve">Saldos em 2025</x:t>
  </x:si>
  <x:si>
    <x:t xml:space="preserve">Saldo final recalculado (2024 + movimentos)</x:t>
  </x:si>
  <x:si>
    <x:t xml:space="preserve">Diferença recalculado × transcrito 2025</x:t>
  </x:si>
  <x:si>
    <x:t xml:space="preserve">Consolidado</x:t>
  </x:si>
  <x:si>
    <x:t xml:space="preserve">F0003 nota 14.1.4, p.88 (movimentação); composição p.86 e p.85 (totais)</x:t>
  </x:si>
  <x:si>
    <x:t xml:space="preserve">Ligação DFC</x:t>
  </x:si>
  <x:si>
    <x:t xml:space="preserve">Demandas judiciais (DFC) = constituição + reversão</x:t>
  </x:si>
  <x:si>
    <x:t xml:space="preserve">Controladora; F0003 p.29</x:t>
  </x:si>
  <x:si>
    <x:t xml:space="preserve">Consolidado; F0003 p.29</x:t>
  </x:si>
  <x:si>
    <x:t xml:space="preserve">Pagamentos (nota 14) = "Provisões" na DFC</x:t>
  </x:si>
  <x:si>
    <x:t xml:space="preserve">Evolução</x:t>
  </x:si>
  <x:si>
    <x:t xml:space="preserve">Provisões consolidadas em 30/06/2026 (ITR)</x:t>
  </x:si>
  <x:si>
    <x:t xml:space="preserve">F0122 p.14 (2.02.04) – informação de 2026, não conhecida em 31/12/2025</x:t>
  </x:si>
  <x:si>
    <x:t xml:space="preserve">Classe (perda possível)</x:t>
  </x:si>
  <x:si>
    <x:t xml:space="preserve">Var. consolidado</x:t>
  </x:si>
  <x:si>
    <x:t xml:space="preserve">Nota / referência</x:t>
  </x:si>
  <x:si>
    <x:t xml:space="preserve">Trabalhistas</x:t>
  </x:si>
  <x:si>
    <x:t xml:space="preserve">Previdenciárias</x:t>
  </x:si>
  <x:si>
    <x:t xml:space="preserve">Cíveis (i)</x:t>
  </x:si>
  <x:si>
    <x:t xml:space="preserve">Ambientais, posturais, regulatórias (autos ANEEL, parcela variável), cíveis gerais</x:t>
  </x:si>
  <x:si>
    <x:t xml:space="preserve">Tributárias – amortização de ágio (ii)</x:t>
  </x:si>
  <x:si>
    <x:t xml:space="preserve">Autuação de 2008; decisão de 2ª instância favorável (p.90)</x:t>
  </x:si>
  <x:si>
    <x:t xml:space="preserve">Tributárias – CSLL base negativa (iii)</x:t>
  </x:si>
  <x:si>
    <x:t xml:space="preserve">Cisão CESP; suspensão de exigibilidade (p.90)</x:t>
  </x:si>
  <x:si>
    <x:t xml:space="preserve">Tributárias – IPTU (iv)</x:t>
  </x:si>
  <x:si>
    <x:t xml:space="preserve">Tributárias – presunção de lucro (v)</x:t>
  </x:si>
  <x:si>
    <x:t xml:space="preserve">Controladas; precedente STJ de mai/2025 para outra transmissora (p.90)</x:t>
  </x:si>
  <x:si>
    <x:t xml:space="preserve">Tributárias – outros</x:t>
  </x:si>
  <x:si>
    <x:t xml:space="preserve">Total da tabela (transcrito)</x:t>
  </x:si>
  <x:si>
    <x:t xml:space="preserve">F0003 p.89</x:t>
  </x:si>
  <x:si>
    <x:t xml:space="preserve">Total no texto da nota</x:t>
  </x:si>
  <x:si>
    <x:t xml:space="preserve">F0003 p.89, 1º parágrafo: "R$898.295" × tabela 898.296 (arredondamento de 1) – P54</x:t>
  </x:si>
  <x:si>
    <x:t xml:space="preserve">Diferença recalculado × tabela</x:t>
  </x:si>
  <x:si>
    <x:t xml:space="preserve">Possíveis consolidados / ME</x:t>
  </x:si>
  <x:si>
    <x:t xml:space="preserve">Evolução em 2026 (informação posterior; NÃO conhecida em 31/12/2025)</x:t>
  </x:si>
  <x:si>
    <x:t xml:space="preserve">Var. desde 31/12/2025</x:t>
  </x:si>
  <x:si>
    <x:t xml:space="preserve">31/03/2026 (1ITR26)</x:t>
  </x:si>
  <x:si>
    <x:t xml:space="preserve">F0109 p.74</x:t>
  </x:si>
  <x:si>
    <x:t xml:space="preserve">30/06/2026 (2ITR26)</x:t>
  </x:si>
  <x:si>
    <x:t xml:space="preserve">F0122 p.77</x:t>
  </x:si>
  <x:si>
    <x:t xml:space="preserve">Caso</x:t>
  </x:si>
  <x:si>
    <x:t xml:space="preserve">Classificação pela administração</x:t>
  </x:si>
  <x:si>
    <x:t xml:space="preserve">Valor (R$ mil)</x:t>
  </x:si>
  <x:si>
    <x:t xml:space="preserve">Fonte e página</x:t>
  </x:si>
  <x:si>
    <x:t xml:space="preserve">Risco (PT 315)</x:t>
  </x:si>
  <x:si>
    <x:t xml:space="preserve">Leitura do preparador</x:t>
  </x:si>
  <x:si>
    <x:t xml:space="preserve">Procedimento 501 necessário</x:t>
  </x:si>
  <x:si>
    <x:t xml:space="preserve">Indenização NI – Eletrobras (Lei 12.783)</x:t>
  </x:si>
  <x:si>
    <x:t xml:space="preserve">Provisão (melhor estimativa)</x:t>
  </x:si>
  <x:si>
    <x:t xml:space="preserve">F0003 p.86–87</x:t>
  </x:si>
  <x:si>
    <x:t xml:space="preserve">R09/R11</x:t>
  </x:si>
  <x:si>
    <x:t xml:space="preserve">Trânsito em julgado em 19/03/2025; fase de liquidação. Estimativa da companhia: 61.152 em 31/03/2026 (F0109 p.73) e 63.437 em 30/06/2026 (F0122 p.76) – explica a P40 (atualização, não divergência)</x:t>
  </x:si>
  <x:si>
    <x:t xml:space="preserve">Carta a advogados (M505-04); recálculo da atualização [PA]</x:t>
  </x:si>
  <x:si>
    <x:t xml:space="preserve">Nulidade da incorporação da EPTE (minoritários)</x:t>
  </x:si>
  <x:si>
    <x:t xml:space="preserve">Provisão (honorários) após pagamento</x:t>
  </x:si>
  <x:si>
    <x:t xml:space="preserve">F0003 p.87</x:t>
  </x:si>
  <x:si>
    <x:t xml:space="preserve">R09</x:t>
  </x:si>
  <x:si>
    <x:t xml:space="preserve">Pagamento incontroverso de 60.096 em jun/2025; restam correção e honorários; rescisória no STJ</x:t>
  </x:si>
  <x:si>
    <x:t xml:space="preserve">Carta a advogados; leitura de decisões [PA]</x:t>
  </x:si>
  <x:si>
    <x:t xml:space="preserve">Lei 4.819/58 – SEFAZ-SP (recebível)</x:t>
  </x:si>
  <x:si>
    <x:t xml:space="preserve">Ativo – ênfase no relatório</x:t>
  </x:si>
  <x:si>
    <x:t xml:space="preserve">F0003 p.70–73, 135</x:t>
  </x:si>
  <x:si>
    <x:t xml:space="preserve">R05</x:t>
  </x:si>
  <x:si>
    <x:t xml:space="preserve">Litígio relevante do lado ativo; mediação no CEJUSC/STJ com audiência designada para 07/04/2026 (p.73). Ênfase mantida pela EY no 2ITR26 (F0122 p.122–123)</x:t>
  </x:si>
  <x:si>
    <x:t xml:space="preserve">Carta a advogados específica; PT 540 (EST-04/05)</x:t>
  </x:si>
  <x:si>
    <x:t xml:space="preserve">PIS/COFINS – regime cumulativo 2003–2010</x:t>
  </x:si>
  <x:si>
    <x:t xml:space="preserve">Remota</x:t>
  </x:si>
  <x:si>
    <x:t xml:space="preserve">F0003 p.90–91 ("aproximadamente R$1.788 milhões")</x:t>
  </x:si>
  <x:si>
    <x:t xml:space="preserve">R07</x:t>
  </x:si>
  <x:si>
    <x:t xml:space="preserve">Encerrado no CARF desfavorável; ação judicial de 2022 com liminar. Remota apesar do valor (≈ 20× ME): julgamento a corroborar com os advogados</x:t>
  </x:si>
  <x:si>
    <x:t xml:space="preserve">Carta a advogados com pedido de avaliação de casos remotos relevantes</x:t>
  </x:si>
  <x:si>
    <x:t xml:space="preserve">Cobrança regressiva Eletropaulo (ENEL)</x:t>
  </x:si>
  <x:si>
    <x:t xml:space="preserve">F0003 p.91 ("R$3,11 bilhões")</x:t>
  </x:si>
  <x:si>
    <x:t xml:space="preserve">Decisões favoráveis em 1ª e 2ª instâncias; REsp admitido; agravo no RE pendente</x:t>
  </x:si>
  <x:si>
    <x:t xml:space="preserve">Idem</x:t>
  </x:si>
  <x:si>
    <x:t xml:space="preserve">Presunção de lucro (controladas)</x:t>
  </x:si>
  <x:si>
    <x:t xml:space="preserve">Possível</x:t>
  </x:si>
  <x:si>
    <x:t xml:space="preserve">F0003 p.89–90</x:t>
  </x:si>
  <x:si>
    <x:t xml:space="preserve">Maior classe tributária possível; crescimento de 20,6% no ano</x:t>
  </x:si>
  <x:si>
    <x:t xml:space="preserve">Amortização de ágio 2008</x:t>
  </x:si>
  <x:si>
    <x:t xml:space="preserve">RBSE – Ke (Portaria MME 120/2016): 40 ações e processo TCU 012.715/2017-4</x:t>
  </x:si>
  <x:si>
    <x:t xml:space="preserve">Não mencionado no F0003</x:t>
  </x:si>
  <x:si>
    <x:t xml:space="preserve">F0003 (busca: ausente); F0109 p.35; F0122 p.39</x:t>
  </x:si>
  <x:si>
    <x:t xml:space="preserve">R01</x:t>
  </x:si>
  <x:si>
    <x:t xml:space="preserve">O julgamento no TCU começou em 18/11/2025 (antes do encerramento). As DFs de 2025 não o mencionam; o 1ITR26 (aprovado em 04/05/2026) passou a divulgar. Avaliar adequação da divulgação de 2025 (P50) – ver PT 560 E05</x:t>
  </x:si>
  <x:si>
    <x:t xml:space="preserve">Indagação à administração e aos advogados [PA]</x:t>
  </x:si>
  <x:si>
    <x:t xml:space="preserve">Depósitos judiciais e cauções (ativo)</x:t>
  </x:si>
  <x:si>
    <x:t xml:space="preserve">F0003 p.85</x:t>
  </x:si>
  <x:si>
    <x:t xml:space="preserve">Relacionar depósitos × processos [PA]</x:t>
  </x:si>
  <x:si>
    <x:t xml:space="preserve">Requisito (CPC 22 / NBC TA 501 it. 13)</x:t>
  </x:si>
  <x:si>
    <x:t xml:space="preserve">Evidência pública</x:t>
  </x:si>
  <x:si>
    <x:t xml:space="preserve">Avaliação</x:t>
  </x:si>
  <x:si>
    <x:t xml:space="preserve">Identificação dos segmentos operacionais (CPC 22 it. 5–10)</x:t>
  </x:si>
  <x:si>
    <x:t xml:space="preserve">A administração considera um único segmento – transmissão de energia elétrica –, embora reconheça receitas de implementação e de O&amp;M, por serem originadas de contratos de concessão</x:t>
  </x:si>
  <x:si>
    <x:t xml:space="preserve">F0003 p.41 (nota 3.1)</x:t>
  </x:si>
  <x:si>
    <x:t xml:space="preserve">Coerente com a natureza regulada e com a forma de divulgação (sem informação por segmento). Confirmar com os relatórios usados pelo principal tomador de decisões [PA]</x:t>
  </x:si>
  <x:si>
    <x:t xml:space="preserve">[RP]/[PA]</x:t>
  </x:si>
  <x:si>
    <x:t xml:space="preserve">Agregação e limites quantitativos (it. 12–13)</x:t>
  </x:si>
  <x:si>
    <x:t xml:space="preserve">Não aplicável com segmento único; a DRE separa receitas por natureza (infraestrutura, remuneração, O&amp;M)</x:t>
  </x:si>
  <x:si>
    <x:t xml:space="preserve">F0003 p.25, 99–101</x:t>
  </x:si>
  <x:si>
    <x:t xml:space="preserve">Sem incoerência aparente</x:t>
  </x:si>
  <x:si>
    <x:t xml:space="preserve">Informações sobre produtos e serviços (it. 32)</x:t>
  </x:si>
  <x:si>
    <x:t xml:space="preserve">Receitas por natureza na nota 16</x:t>
  </x:si>
  <x:si>
    <x:t xml:space="preserve">F0003 p.99–101</x:t>
  </x:si>
  <x:si>
    <x:t xml:space="preserve">Atendido pela nota de receita</x:t>
  </x:si>
  <x:si>
    <x:t xml:space="preserve">Áreas geográficas (it. 33)</x:t>
  </x:si>
  <x:si>
    <x:t xml:space="preserve">Operação apenas no Brasil (concessões ANEEL)</x:t>
  </x:si>
  <x:si>
    <x:t xml:space="preserve">F0003 p.33–36</x:t>
  </x:si>
  <x:si>
    <x:t xml:space="preserve">Sem receita no exterior identificada</x:t>
  </x:si>
  <x:si>
    <x:t xml:space="preserve">Principais clientes ≥ 10% da receita (it. 34)</x:t>
  </x:si>
  <x:si>
    <x:t xml:space="preserve">Nota de risco de crédito: contratos com o ONS, concessionárias e outros agentes; sem divulgação de concentração</x:t>
  </x:si>
  <x:si>
    <x:t xml:space="preserve">F0003 p.117</x:t>
  </x:si>
  <x:si>
    <x:t xml:space="preserve">Verificar se algum usuário individual supera 10% da receita (provável pulverização) [PA]</x:t>
  </x:si>
  <x:si>
    <x:t xml:space="preserve">Entendimento dos métodos (501 it. 13(a))</x:t>
  </x:si>
  <x:si>
    <x:t xml:space="preserve">Não há relatório gerencial público</x:t>
  </x:si>
  <x:si>
    <x:t xml:space="preserve">—</x:t>
  </x:si>
  <x:si>
    <x:t xml:space="preserve">Indagar e obter relatórios ao CA/Diretoria [PA]</x:t>
  </x:si>
  <x:si>
    <x:t xml:space="preserve">Procedimentos analíticos e reconciliação (501 it. 13(b))</x:t>
  </x:si>
  <x:si>
    <x:t xml:space="preserve">Segmento único = DFs consolidadas</x:t>
  </x:si>
  <x:si>
    <x:t xml:space="preserve">Sem reconciliação adicional necessária</x:t>
  </x:si>
  <x:si>
    <x:t xml:space="preserve">Procedimento interno necessário (planejado)</x:t>
  </x:si>
  <x:si>
    <x:t xml:space="preserve">9(a)</x:t>
  </x:si>
  <x:si>
    <x:t xml:space="preserve">Indagar a administração e o jurídico interno sobre litígios e reclamações, incluindo novos processos após 31/12/2025</x:t>
  </x:si>
  <x:si>
    <x:t xml:space="preserve">Não executado – sem acesso</x:t>
  </x:si>
  <x:si>
    <x:t xml:space="preserve">9(b)</x:t>
  </x:si>
  <x:si>
    <x:t xml:space="preserve">Ler atas do CA, da Diretoria e do Comitê de Auditoria e a correspondência com advogados externos</x:t>
  </x:si>
  <x:si>
    <x:t xml:space="preserve">[PA] (atas públicas listadas no PT 560)</x:t>
  </x:si>
  <x:si>
    <x:t xml:space="preserve">9(c)</x:t>
  </x:si>
  <x:si>
    <x:t xml:space="preserve">Revisar as contas de despesas legais (honorários advocatícios, custas, êxito) e cruzar com a lista de processos</x:t>
  </x:si>
  <x:si>
    <x:t xml:space="preserve">10</x:t>
  </x:si>
  <x:si>
    <x:t xml:space="preserve">Carta de indagação aos advogados externos (elaborada pela administração, enviada pelo auditor) – modelo M505-04, NÃO ENVIADO</x:t>
  </x:si>
  <x:si>
    <x:t xml:space="preserve">[PA]/[SD]</x:t>
  </x:si>
  <x:si>
    <x:t xml:space="preserve">11</x:t>
  </x:si>
  <x:si>
    <x:t xml:space="preserve">Recusa da administração ou dos advogados em responder → procedimentos alternativos; sem evidência → opinião modificada</x:t>
  </x:si>
  <x:si>
    <x:t xml:space="preserve">12</x:t>
  </x:si>
  <x:si>
    <x:t xml:space="preserve">Representação formal sobre litígios e reclamações (PT 580)</x:t>
  </x:si>
  <x:si>
    <x:t xml:space="preserve">A20</x:t>
  </x:si>
  <x:si>
    <x:t xml:space="preserve">Comparar provisões × casos prováveis da lista dos advogados; depósitos judiciais (46.049) × processos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</x:si>
</x:sst>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#,##0;[RED]\-#,##0"/>
    <x:numFmt numFmtId="166" formatCode="0.0%"/>
    <x:numFmt numFmtId="167" formatCode="0.00%"/>
    <x:numFmt numFmtId="168" formatCode="0.00\x"/>
  </x:numFmts>
  <x:fonts count="7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sz val="11"/>
      <x:name val="Cambria"/>
    </x:font>
    <x:font>
      <x:b/>
      <x:sz val="11"/>
      <x:color rgb="FFFFFFFF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6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5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6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7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8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0" applyProtection="0">
      <x:alignment horizontal="general" vertical="bottom" wrapText="0" shrinkToFit="0"/>
      <x:protection locked="1" hidden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73bc0115f4171" /><Relationship Type="http://schemas.openxmlformats.org/officeDocument/2006/relationships/theme" Target="/xl/theme/theme1.xml" Id="R062f39bbd3284a28" /><Relationship Type="http://schemas.openxmlformats.org/officeDocument/2006/relationships/sharedStrings" Target="/xl/sharedStrings.xml" Id="R36bc4f3effd1452f" /><Relationship Type="http://schemas.openxmlformats.org/officeDocument/2006/relationships/worksheet" Target="/xl/worksheets/sheet1.xml" Id="Rbb200e1d6103447f" /><Relationship Type="http://schemas.openxmlformats.org/officeDocument/2006/relationships/worksheet" Target="/xl/worksheets/sheet2.xml" Id="Ref5c72f3c42749bf" /><Relationship Type="http://schemas.openxmlformats.org/officeDocument/2006/relationships/worksheet" Target="/xl/worksheets/sheet3.xml" Id="R2001809324324e26" /><Relationship Type="http://schemas.openxmlformats.org/officeDocument/2006/relationships/worksheet" Target="/xl/worksheets/sheet4.xml" Id="R920426ba87a54df8" /><Relationship Type="http://schemas.openxmlformats.org/officeDocument/2006/relationships/worksheet" Target="/xl/worksheets/sheet5.xml" Id="Ree6d4e1bf3c44ce8" /><Relationship Type="http://schemas.openxmlformats.org/officeDocument/2006/relationships/worksheet" Target="/xl/worksheets/sheet6.xml" Id="R15471e83efae4d2b" /><Relationship Type="http://schemas.openxmlformats.org/officeDocument/2006/relationships/worksheet" Target="/xl/worksheets/sheet7.xml" Id="Ra1bc49a9b1594e32" /><Relationship Type="http://schemas.openxmlformats.org/officeDocument/2006/relationships/worksheet" Target="/xl/worksheets/sheet8.xml" Id="R2f77b86cf39244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70" hidden="0" customWidth="1"/>
  </x:cols>
  <x:sheetData>
    <x:row r="1" ht="15" hidden="0">
      <x:c r="A1" s="1" t="s">
        <x:v>0</x:v>
      </x:c>
    </x:row>
    <x:row r="2" ht="15" hidden="0">
      <x:c r="A2" s="2" t="s">
        <x:v>1</x:v>
      </x:c>
    </x:row>
    <x:row r="3" ht="15" hidden="0">
      <x:c r="A3" s="2" t="s">
        <x:v>2</x:v>
      </x:c>
    </x:row>
    <x:row r="4" ht="15" hidden="0">
      <x:c r="A4" s="2" t="s">
        <x:v>3</x:v>
      </x:c>
    </x:row>
    <x:row r="5" ht="15" hidden="0">
      <x:c r="A5" s="2" t="s">
        <x:v>4</x:v>
      </x:c>
    </x:row>
    <x:row r="6" ht="15" hidden="0">
      <x:c r="A6" s="2" t="s">
        <x:v>5</x:v>
      </x:c>
    </x:row>
    <x:row r="7" ht="15" hidden="0">
      <x:c r="A7" s="2" t="s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44" hidden="0" customWidth="1"/>
    <x:col min="2" max="5" width="15" hidden="0" customWidth="1"/>
    <x:col min="6" max="6" width="22" hidden="0" customWidth="1"/>
    <x:col min="7" max="7" width="60" hidden="0" customWidth="1"/>
  </x:cols>
  <x:sheetData>
    <x:row r="1" ht="28.350000381469727" hidden="0">
      <x:c r="A1" s="3" t="s">
        <x:v>7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12</x:v>
      </x:c>
      <x:c r="G1" s="3" t="s">
        <x:v>13</x:v>
      </x:c>
    </x:row>
    <x:row r="2" ht="15" hidden="0">
      <x:c r="A2" s="4" t="s">
        <x:v>14</x:v>
      </x:c>
      <x:c r="B2" s="5" t="n">
        <x:v>59223</x:v>
      </x:c>
      <x:c r="C2" s="5" t="n">
        <x:v>81294</x:v>
      </x:c>
      <x:c r="D2" s="5" t="n">
        <x:v>72704</x:v>
      </x:c>
      <x:c r="E2" s="5" t="n">
        <x:v>94384</x:v>
      </x:c>
      <x:c r="F2" s="4" t="s">
        <x:v>15</x:v>
      </x:c>
      <x:c r="G2" s="4"/>
    </x:row>
    <x:row r="3" ht="15" hidden="0">
      <x:c r="A3" s="4" t="s">
        <x:v>16</x:v>
      </x:c>
      <x:c r="B3" s="5" t="n">
        <x:v>64151</x:v>
      </x:c>
      <x:c r="C3" s="5" t="n">
        <x:v>112712</x:v>
      </x:c>
      <x:c r="D3" s="5" t="n">
        <x:v>94871</x:v>
      </x:c>
      <x:c r="E3" s="5" t="n">
        <x:v>140344</x:v>
      </x:c>
      <x:c r="F3" s="4" t="s">
        <x:v>15</x:v>
      </x:c>
      <x:c r="G3" s="4"/>
    </x:row>
    <x:row r="4" ht="15" hidden="0">
      <x:c r="A4" s="4" t="s">
        <x:v>17</x:v>
      </x:c>
      <x:c r="B4" s="6" t="n">
        <x:f aca="0">B2+B3</x:f>
        <x:v>123374</x:v>
      </x:c>
      <x:c r="C4" s="6" t="n">
        <x:f aca="0">C2+C3</x:f>
        <x:v>194006</x:v>
      </x:c>
      <x:c r="D4" s="6" t="n">
        <x:f aca="0">D2+D3</x:f>
        <x:v>167575</x:v>
      </x:c>
      <x:c r="E4" s="6" t="n">
        <x:f aca="0">E2+E3</x:f>
        <x:v>234728</x:v>
      </x:c>
      <x:c r="F4" s="4" t="s">
        <x:v>18</x:v>
      </x:c>
      <x:c r="G4" s="4"/>
    </x:row>
    <x:row r="5" ht="15" hidden="0">
      <x:c r="A5" s="4" t="s">
        <x:v>19</x:v>
      </x:c>
      <x:c r="B5" s="6" t="n">
        <x:f aca="0">C4-B4</x:f>
        <x:v>70632</x:v>
      </x:c>
      <x:c r="C5" s="4"/>
      <x:c r="D5" s="6" t="n">
        <x:f aca="0">E4-D4</x:f>
        <x:v>67153</x:v>
      </x:c>
      <x:c r="E5" s="4"/>
      <x:c r="F5" s="4" t="s">
        <x:v>18</x:v>
      </x:c>
      <x:c r="G5" s="4" t="s">
        <x:v>20</x:v>
      </x:c>
    </x:row>
    <x:row r="6" ht="15" hidden="0">
      <x:c r="A6" s="4" t="s">
        <x:v>21</x:v>
      </x:c>
      <x:c r="B6" s="5" t="n">
        <x:v>70632</x:v>
      </x:c>
      <x:c r="C6" s="5" t="n">
        <x:v>58401</x:v>
      </x:c>
      <x:c r="D6" s="5" t="n">
        <x:v>67153</x:v>
      </x:c>
      <x:c r="E6" s="5" t="n">
        <x:v>65143</x:v>
      </x:c>
      <x:c r="F6" s="4" t="s">
        <x:v>22</x:v>
      </x:c>
      <x:c r="G6" s="4"/>
    </x:row>
    <x:row r="7" ht="15" hidden="0">
      <x:c r="A7" s="4" t="s">
        <x:v>23</x:v>
      </x:c>
      <x:c r="B7" s="6" t="n">
        <x:f aca="0">B5-B6</x:f>
        <x:v>0</x:v>
      </x:c>
      <x:c r="C7" s="4"/>
      <x:c r="D7" s="6" t="n">
        <x:f aca="0">D5-D6</x:f>
        <x:v>0</x:v>
      </x:c>
      <x:c r="E7" s="4"/>
      <x:c r="F7" s="4" t="s">
        <x:v>18</x:v>
      </x:c>
      <x:c r="G7" s="4" t="s">
        <x:v>24</x:v>
      </x:c>
    </x:row>
    <x:row r="8" ht="15" hidden="0">
      <x:c r="A8" s="4" t="s">
        <x:v>25</x:v>
      </x:c>
      <x:c r="B8" s="7" t="n">
        <x:f aca="0">B4/C4-1</x:f>
        <x:v>-0.36407121429234146</x:v>
      </x:c>
      <x:c r="C8" s="4"/>
      <x:c r="D8" s="7" t="n">
        <x:f aca="0">D4/E4-1</x:f>
        <x:v>-0.286088579121366</x:v>
      </x:c>
      <x:c r="E8" s="4"/>
      <x:c r="F8" s="4" t="s">
        <x:v>18</x:v>
      </x:c>
      <x:c r="G8" s="4" t="s">
        <x:v>26</x:v>
      </x:c>
    </x:row>
    <x:row r="9" ht="15" hidden="0">
      <x:c r="A9" s="4" t="s">
        <x:v>27</x:v>
      </x:c>
      <x:c r="B9" s="5" t="n">
        <x:v>45960743</x:v>
      </x:c>
      <x:c r="C9" s="5" t="n">
        <x:v>42001254</x:v>
      </x:c>
      <x:c r="D9" s="5" t="n">
        <x:v>47201372</x:v>
      </x:c>
      <x:c r="E9" s="5" t="n">
        <x:v>43304632</x:v>
      </x:c>
      <x:c r="F9" s="4" t="s">
        <x:v>15</x:v>
      </x:c>
      <x:c r="G9" s="4"/>
    </x:row>
    <x:row r="10" ht="15" hidden="0">
      <x:c r="A10" s="4" t="s">
        <x:v>28</x:v>
      </x:c>
      <x:c r="B10" s="8" t="n">
        <x:f aca="0">B4/B9</x:f>
        <x:v>0.0026843343241861866</x:v>
      </x:c>
      <x:c r="C10" s="8" t="n">
        <x:f aca="0">C4/C9</x:f>
        <x:v>0.004619052564478194</x:v>
      </x:c>
      <x:c r="D10" s="8" t="n">
        <x:f aca="0">D4/D9</x:f>
        <x:v>0.0035502145996942633</x:v>
      </x:c>
      <x:c r="E10" s="8" t="n">
        <x:f aca="0">E4/E9</x:f>
        <x:v>0.0054203901328615375</x:v>
      </x:c>
      <x:c r="F10" s="4" t="s">
        <x:v>18</x:v>
      </x:c>
      <x:c r="G10" s="4"/>
    </x:row>
    <x:row r="11" ht="15" hidden="0">
      <x:c r="A11" s="4" t="s">
        <x:v>29</x:v>
      </x:c>
      <x:c r="B11" s="9" t="n">
        <x:f aca="0">B4/90000</x:f>
        <x:v>1.3708222222222222</x:v>
      </x:c>
      <x:c r="C11" s="9" t="n">
        <x:f aca="0">C4/90000</x:f>
        <x:v>2.155622222222222</x:v>
      </x:c>
      <x:c r="D11" s="9" t="n">
        <x:f aca="0">D4/90000</x:f>
        <x:v>1.8619444444444444</x:v>
      </x:c>
      <x:c r="E11" s="9" t="n">
        <x:f aca="0">E4/90000</x:f>
        <x:v>2.6080888888888887</x:v>
      </x:c>
      <x:c r="F11" s="4" t="s">
        <x:v>30</x:v>
      </x:c>
      <x:c r="G11" s="4" t="s">
        <x:v>31</x:v>
      </x:c>
    </x:row>
    <x:row r="12" ht="28.350000381469727" hidden="0">
      <x:c r="A12" s="4" t="s">
        <x:v>32</x:v>
      </x:c>
      <x:c r="B12" s="4"/>
      <x:c r="C12" s="4"/>
      <x:c r="D12" s="5" t="n">
        <x:v>-24650</x:v>
      </x:c>
      <x:c r="E12" s="4"/>
      <x:c r="F12" s="4" t="s">
        <x:v>33</x:v>
      </x:c>
      <x:c r="G12" s="4" t="s">
        <x:v>34</x:v>
      </x:c>
    </x:row>
    <x:row r="13" ht="28.350000381469727" hidden="0">
      <x:c r="A13" s="4" t="s">
        <x:v>35</x:v>
      </x:c>
      <x:c r="B13" s="4"/>
      <x:c r="C13" s="4"/>
      <x:c r="D13" s="5" t="n">
        <x:v>-94871</x:v>
      </x:c>
      <x:c r="E13" s="4"/>
      <x:c r="F13" s="4" t="s">
        <x:v>33</x:v>
      </x:c>
      <x:c r="G13" s="4" t="s">
        <x:v>36</x:v>
      </x:c>
    </x:row>
    <x:row r="15" ht="28.350000381469727" hidden="0">
      <x:c r="A15" s="4" t="s">
        <x:v>37</x:v>
      </x:c>
      <x:c r="B15" s="4" t="s">
        <x:v>38</x:v>
      </x:c>
      <x:c r="C15" s="4"/>
      <x:c r="D15" s="4"/>
      <x:c r="E15" s="4"/>
      <x:c r="F15" s="4" t="s">
        <x:v>39</x:v>
      </x:c>
      <x:c r="G15" s="4" t="s">
        <x:v>40</x:v>
      </x:c>
    </x:row>
    <x:row r="16" ht="82.05000305175781" hidden="0">
      <x:c r="A16" s="4" t="s">
        <x:v>41</x:v>
      </x:c>
      <x:c r="B16" s="4" t="str">
        <x:f aca="0">IF(D4&gt;90000,"Relevante por tamanho: it. 4 aplicável (contagem física exigida, salvo impraticável)","Abaixo da ME")</x:f>
        <x:v>Relevante por tamanho: it. 4 aplicável (contagem física exigida, salvo impraticável)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2" hidden="0" customWidth="1"/>
    <x:col min="2" max="2" width="80" hidden="0" customWidth="1"/>
    <x:col min="3" max="3" width="10" hidden="0" customWidth="1"/>
    <x:col min="4" max="4" width="45" hidden="0" customWidth="1"/>
    <x:col min="5" max="5" width="30" hidden="0" customWidth="1"/>
  </x:cols>
  <x:sheetData>
    <x:row r="1" ht="28.350000381469727" hidden="0">
      <x:c r="A1" s="3" t="s">
        <x:v>42</x:v>
      </x:c>
      <x:c r="B1" s="3" t="s">
        <x:v>43</x:v>
      </x:c>
      <x:c r="C1" s="3" t="s">
        <x:v>44</x:v>
      </x:c>
      <x:c r="D1" s="3" t="s">
        <x:v>45</x:v>
      </x:c>
      <x:c r="E1" s="3" t="s">
        <x:v>46</x:v>
      </x:c>
    </x:row>
    <x:row r="2" ht="28.350000381469727" hidden="0">
      <x:c r="A2" s="4" t="s">
        <x:v>47</x:v>
      </x:c>
      <x:c r="B2" s="4" t="s">
        <x:v>48</x:v>
      </x:c>
      <x:c r="C2" s="4" t="s">
        <x:v>49</x:v>
      </x:c>
      <x:c r="D2" s="4" t="s">
        <x:v>50</x:v>
      </x:c>
      <x:c r="E2" s="4" t="s">
        <x:v>51</x:v>
      </x:c>
    </x:row>
    <x:row r="3" ht="26.399999618530273" hidden="0" customHeight="1">
      <x:c r="A3" s="4" t="s">
        <x:v>52</x:v>
      </x:c>
      <x:c r="B3" s="4" t="str">
        <x:v>Observar a contagem nos locais ≥ CT (R$ 7 milhões), com avaliação de locais menores por risco de obsolescência e da cobertura total; RV23-V01 aprovada pelo aluno.</x:v>
      </x:c>
      <x:c r="C3" s="4" t="s">
        <x:v>49</x:v>
      </x:c>
      <x:c r="D3" s="4" t="s">
        <x:v>53</x:v>
      </x:c>
      <x:c r="E3" s="4" t="s">
        <x:v>51</x:v>
      </x:c>
    </x:row>
    <x:row r="4" ht="28.350000381469727" hidden="0">
      <x:c r="A4" s="4" t="s">
        <x:v>54</x:v>
      </x:c>
      <x:c r="B4" s="4" t="s">
        <x:v>55</x:v>
      </x:c>
      <x:c r="C4" s="4" t="s">
        <x:v>49</x:v>
      </x:c>
      <x:c r="D4" s="4" t="s">
        <x:v>56</x:v>
      </x:c>
      <x:c r="E4" s="4" t="s">
        <x:v>51</x:v>
      </x:c>
    </x:row>
    <x:row r="5" ht="28.350000381469727" hidden="0">
      <x:c r="A5" s="4" t="s">
        <x:v>57</x:v>
      </x:c>
      <x:c r="B5" s="4" t="s">
        <x:v>58</x:v>
      </x:c>
      <x:c r="C5" s="4" t="s">
        <x:v>49</x:v>
      </x:c>
      <x:c r="D5" s="4" t="s">
        <x:v>59</x:v>
      </x:c>
      <x:c r="E5" s="4" t="s">
        <x:v>51</x:v>
      </x:c>
    </x:row>
    <x:row r="6" ht="28.350000381469727" hidden="0">
      <x:c r="A6" s="4" t="s">
        <x:v>60</x:v>
      </x:c>
      <x:c r="B6" s="4" t="s">
        <x:v>61</x:v>
      </x:c>
      <x:c r="C6" s="4" t="s">
        <x:v>49</x:v>
      </x:c>
      <x:c r="D6" s="4" t="s">
        <x:v>62</x:v>
      </x:c>
      <x:c r="E6" s="4" t="s">
        <x:v>51</x:v>
      </x:c>
    </x:row>
    <x:row r="7" ht="28.350000381469727" hidden="0">
      <x:c r="A7" s="4" t="s">
        <x:v>63</x:v>
      </x:c>
      <x:c r="B7" s="4" t="s">
        <x:v>64</x:v>
      </x:c>
      <x:c r="C7" s="4" t="s">
        <x:v>49</x:v>
      </x:c>
      <x:c r="D7" s="4" t="s">
        <x:v>65</x:v>
      </x:c>
      <x:c r="E7" s="4" t="s">
        <x:v>51</x:v>
      </x:c>
    </x:row>
    <x:row r="8" ht="28.350000381469727" hidden="0">
      <x:c r="A8" s="4" t="s">
        <x:v>66</x:v>
      </x:c>
      <x:c r="B8" s="4" t="s">
        <x:v>67</x:v>
      </x:c>
      <x:c r="C8" s="4" t="s">
        <x:v>49</x:v>
      </x:c>
      <x:c r="D8" s="4" t="s">
        <x:v>68</x:v>
      </x:c>
      <x:c r="E8" s="4" t="s">
        <x:v>51</x:v>
      </x:c>
    </x:row>
    <x:row r="9" ht="28.350000381469727" hidden="0">
      <x:c r="A9" s="4" t="s">
        <x:v>69</x:v>
      </x:c>
      <x:c r="B9" s="4" t="s">
        <x:v>70</x:v>
      </x:c>
      <x:c r="C9" s="4" t="s">
        <x:v>49</x:v>
      </x:c>
      <x:c r="D9" s="4" t="s">
        <x:v>71</x:v>
      </x:c>
      <x:c r="E9" s="4" t="s">
        <x:v>51</x:v>
      </x:c>
    </x:row>
    <x:row r="10" ht="15" hidden="0">
      <x:c r="A10" s="4" t="s">
        <x:v>72</x:v>
      </x:c>
      <x:c r="B10" s="4" t="s">
        <x:v>73</x:v>
      </x:c>
      <x:c r="C10" s="4" t="s">
        <x:v>74</x:v>
      </x:c>
      <x:c r="D10" s="4" t="s">
        <x:v>75</x:v>
      </x:c>
      <x:c r="E10" s="4" t="s">
        <x:v>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4" hidden="0" customWidth="1"/>
    <x:col min="2" max="2" width="26" hidden="0" customWidth="1"/>
    <x:col min="3" max="4" width="12" hidden="0" customWidth="1"/>
    <x:col min="5" max="5" width="10" hidden="0" customWidth="1"/>
    <x:col min="6" max="6" width="12" hidden="0" customWidth="1"/>
    <x:col min="7" max="7" width="10" hidden="0" customWidth="1"/>
    <x:col min="8" max="9" width="14" hidden="0" customWidth="1"/>
    <x:col min="10" max="10" width="11" hidden="0" customWidth="1"/>
  </x:cols>
  <x:sheetData>
    <x:row r="1" ht="28.350000381469727" hidden="0">
      <x:c r="A1" s="3" t="s">
        <x:v>77</x:v>
      </x:c>
      <x:c r="B1" s="3" t="s">
        <x:v>78</x:v>
      </x:c>
      <x:c r="C1" s="3" t="s">
        <x:v>79</x:v>
      </x:c>
      <x:c r="D1" s="3" t="s">
        <x:v>80</x:v>
      </x:c>
      <x:c r="E1" s="3" t="s">
        <x:v>81</x:v>
      </x:c>
      <x:c r="F1" s="3" t="s">
        <x:v>82</x:v>
      </x:c>
      <x:c r="G1" s="3" t="s">
        <x:v>83</x:v>
      </x:c>
      <x:c r="H1" s="3" t="s">
        <x:v>84</x:v>
      </x:c>
      <x:c r="I1" s="3" t="s">
        <x:v>85</x:v>
      </x:c>
      <x:c r="J1" s="3" t="s">
        <x:v>86</x:v>
      </x:c>
    </x:row>
    <x:row r="2" ht="15" hidden="0">
      <x:c r="A2" s="4" t="s">
        <x:v>87</x:v>
      </x:c>
      <x:c r="B2" s="4" t="s">
        <x:v>88</x:v>
      </x:c>
      <x:c r="C2" s="5" t="n">
        <x:v>36757</x:v>
      </x:c>
      <x:c r="D2" s="5" t="n">
        <x:v>126922</x:v>
      </x:c>
      <x:c r="E2" s="5" t="n">
        <x:v>113</x:v>
      </x:c>
      <x:c r="F2" s="5" t="n">
        <x:v>3550</x:v>
      </x:c>
      <x:c r="G2" s="5" t="n">
        <x:v>384</x:v>
      </x:c>
      <x:c r="H2" s="5" t="n">
        <x:v>167726</x:v>
      </x:c>
      <x:c r="I2" s="6" t="n">
        <x:f aca="0">SUM(C2:G2)</x:f>
        <x:v>167726</x:v>
      </x:c>
      <x:c r="J2" s="6" t="n">
        <x:f aca="0">H2-I2</x:f>
        <x:v>0</x:v>
      </x:c>
    </x:row>
    <x:row r="3" ht="15" hidden="0">
      <x:c r="A3" s="4" t="s">
        <x:v>87</x:v>
      </x:c>
      <x:c r="B3" s="4" t="s">
        <x:v>89</x:v>
      </x:c>
      <x:c r="C3" s="5" t="n">
        <x:v>5798</x:v>
      </x:c>
      <x:c r="D3" s="5" t="n">
        <x:v>9113</x:v>
      </x:c>
      <x:c r="E3" s="5" t="n">
        <x:v>367</x:v>
      </x:c>
      <x:c r="F3" s="5" t="n">
        <x:v>2767</x:v>
      </x:c>
      <x:c r="G3" s="5" t="n">
        <x:v>15</x:v>
      </x:c>
      <x:c r="H3" s="5" t="n">
        <x:v>18060</x:v>
      </x:c>
      <x:c r="I3" s="6" t="n">
        <x:f aca="0">SUM(C3:G3)</x:f>
        <x:v>18060</x:v>
      </x:c>
      <x:c r="J3" s="6" t="n">
        <x:f aca="0">H3-I3</x:f>
        <x:v>0</x:v>
      </x:c>
    </x:row>
    <x:row r="4" ht="15" hidden="0">
      <x:c r="A4" s="4" t="s">
        <x:v>87</x:v>
      </x:c>
      <x:c r="B4" s="4" t="s">
        <x:v>90</x:v>
      </x:c>
      <x:c r="C4" s="5" t="n">
        <x:v>-2907</x:v>
      </x:c>
      <x:c r="D4" s="5" t="n">
        <x:v>-5421</x:v>
      </x:c>
      <x:c r="E4" s="5" t="n">
        <x:v>-28</x:v>
      </x:c>
      <x:c r="F4" s="5" t="n">
        <x:v>-1206</x:v>
      </x:c>
      <x:c r="G4" s="5" t="n">
        <x:v>0</x:v>
      </x:c>
      <x:c r="H4" s="5" t="n">
        <x:v>-9562</x:v>
      </x:c>
      <x:c r="I4" s="6" t="n">
        <x:f aca="0">SUM(C4:G4)</x:f>
        <x:v>-9562</x:v>
      </x:c>
      <x:c r="J4" s="6" t="n">
        <x:f aca="0">H4-I4</x:f>
        <x:v>0</x:v>
      </x:c>
    </x:row>
    <x:row r="5" ht="15" hidden="0">
      <x:c r="A5" s="4" t="s">
        <x:v>87</x:v>
      </x:c>
      <x:c r="B5" s="4" t="s">
        <x:v>91</x:v>
      </x:c>
      <x:c r="C5" s="5" t="n">
        <x:v>-5792</x:v>
      </x:c>
      <x:c r="D5" s="5" t="n">
        <x:v>-60638</x:v>
      </x:c>
      <x:c r="E5" s="5" t="n">
        <x:v>0</x:v>
      </x:c>
      <x:c r="F5" s="5" t="n">
        <x:v>-193</x:v>
      </x:c>
      <x:c r="G5" s="5" t="n">
        <x:v>0</x:v>
      </x:c>
      <x:c r="H5" s="5" t="n">
        <x:v>-66623</x:v>
      </x:c>
      <x:c r="I5" s="6" t="n">
        <x:f aca="0">SUM(C5:G5)</x:f>
        <x:v>-66623</x:v>
      </x:c>
      <x:c r="J5" s="6" t="n">
        <x:f aca="0">H5-I5</x:f>
        <x:v>0</x:v>
      </x:c>
    </x:row>
    <x:row r="6" ht="15" hidden="0">
      <x:c r="A6" s="4" t="s">
        <x:v>87</x:v>
      </x:c>
      <x:c r="B6" s="4" t="s">
        <x:v>92</x:v>
      </x:c>
      <x:c r="C6" s="5" t="n">
        <x:v>4081</x:v>
      </x:c>
      <x:c r="D6" s="5" t="n">
        <x:v>6841</x:v>
      </x:c>
      <x:c r="E6" s="5" t="n">
        <x:v>24</x:v>
      </x:c>
      <x:c r="F6" s="5" t="n">
        <x:v>660</x:v>
      </x:c>
      <x:c r="G6" s="5" t="n">
        <x:v>54</x:v>
      </x:c>
      <x:c r="H6" s="5" t="n">
        <x:v>11660</x:v>
      </x:c>
      <x:c r="I6" s="6" t="n">
        <x:f aca="0">SUM(C6:G6)</x:f>
        <x:v>11660</x:v>
      </x:c>
      <x:c r="J6" s="6" t="n">
        <x:f aca="0">H6-I6</x:f>
        <x:v>0</x:v>
      </x:c>
    </x:row>
    <x:row r="7" ht="15" hidden="0">
      <x:c r="A7" s="4" t="s">
        <x:v>87</x:v>
      </x:c>
      <x:c r="B7" s="4" t="s">
        <x:v>93</x:v>
      </x:c>
      <x:c r="C7" s="5" t="n">
        <x:v>37937</x:v>
      </x:c>
      <x:c r="D7" s="5" t="n">
        <x:v>76817</x:v>
      </x:c>
      <x:c r="E7" s="5" t="n">
        <x:v>476</x:v>
      </x:c>
      <x:c r="F7" s="5" t="n">
        <x:v>5578</x:v>
      </x:c>
      <x:c r="G7" s="5" t="n">
        <x:v>453</x:v>
      </x:c>
      <x:c r="H7" s="5" t="n">
        <x:v>121261</x:v>
      </x:c>
      <x:c r="I7" s="6" t="n">
        <x:f aca="0">SUM(C7:G7)</x:f>
        <x:v>121261</x:v>
      </x:c>
      <x:c r="J7" s="6" t="n">
        <x:f aca="0">H7-I7</x:f>
        <x:v>0</x:v>
      </x:c>
    </x:row>
    <x:row r="8" ht="28.350000381469727" hidden="0">
      <x:c r="A8" s="4" t="s">
        <x:v>87</x:v>
      </x:c>
      <x:c r="B8" s="4" t="s">
        <x:v>94</x:v>
      </x:c>
      <x:c r="C8" s="6" t="n">
        <x:f aca="0">SUM(C2:C6)</x:f>
        <x:v>37937</x:v>
      </x:c>
      <x:c r="D8" s="6" t="n">
        <x:f aca="0">SUM(D2:D6)</x:f>
        <x:v>76817</x:v>
      </x:c>
      <x:c r="E8" s="6" t="n">
        <x:f aca="0">SUM(E2:E6)</x:f>
        <x:v>476</x:v>
      </x:c>
      <x:c r="F8" s="6" t="n">
        <x:f aca="0">SUM(F2:F6)</x:f>
        <x:v>5578</x:v>
      </x:c>
      <x:c r="G8" s="6" t="n">
        <x:f aca="0">SUM(G2:G6)</x:f>
        <x:v>453</x:v>
      </x:c>
      <x:c r="H8" s="6" t="n">
        <x:f aca="0">SUM(H2:H6)</x:f>
        <x:v>121261</x:v>
      </x:c>
    </x:row>
    <x:row r="9" ht="28.350000381469727" hidden="0">
      <x:c r="A9" s="4" t="s">
        <x:v>87</x:v>
      </x:c>
      <x:c r="B9" s="4" t="s">
        <x:v>95</x:v>
      </x:c>
      <x:c r="C9" s="6" t="n">
        <x:f aca="0">C8-C7</x:f>
        <x:v>0</x:v>
      </x:c>
      <x:c r="D9" s="6" t="n">
        <x:f aca="0">D8-D7</x:f>
        <x:v>0</x:v>
      </x:c>
      <x:c r="E9" s="6" t="n">
        <x:f aca="0">E8-E7</x:f>
        <x:v>0</x:v>
      </x:c>
      <x:c r="F9" s="6" t="n">
        <x:f aca="0">F8-F7</x:f>
        <x:v>0</x:v>
      </x:c>
      <x:c r="G9" s="6" t="n">
        <x:f aca="0">G8-G7</x:f>
        <x:v>0</x:v>
      </x:c>
      <x:c r="H9" s="6" t="n">
        <x:f aca="0">H8-H7</x:f>
        <x:v>0</x:v>
      </x:c>
    </x:row>
    <x:row r="11" ht="15" hidden="0">
      <x:c r="A11" s="4" t="s">
        <x:v>96</x:v>
      </x:c>
      <x:c r="B11" s="4" t="s">
        <x:v>88</x:v>
      </x:c>
      <x:c r="C11" s="5" t="n">
        <x:v>38008</x:v>
      </x:c>
      <x:c r="D11" s="5" t="n">
        <x:v>127505</x:v>
      </x:c>
      <x:c r="E11" s="5" t="n">
        <x:v>113</x:v>
      </x:c>
      <x:c r="F11" s="5" t="n">
        <x:v>31178</x:v>
      </x:c>
      <x:c r="G11" s="5" t="n">
        <x:v>467</x:v>
      </x:c>
      <x:c r="H11" s="5" t="n">
        <x:v>197271</x:v>
      </x:c>
      <x:c r="I11" s="6" t="n">
        <x:f aca="0">SUM(C11:G11)</x:f>
        <x:v>197271</x:v>
      </x:c>
      <x:c r="J11" s="6" t="n">
        <x:f aca="0">H11-I11</x:f>
        <x:v>0</x:v>
      </x:c>
    </x:row>
    <x:row r="12" ht="15" hidden="0">
      <x:c r="A12" s="4" t="s">
        <x:v>96</x:v>
      </x:c>
      <x:c r="B12" s="4" t="s">
        <x:v>89</x:v>
      </x:c>
      <x:c r="C12" s="5" t="n">
        <x:v>5987</x:v>
      </x:c>
      <x:c r="D12" s="5" t="n">
        <x:v>9215</x:v>
      </x:c>
      <x:c r="E12" s="5" t="n">
        <x:v>367</x:v>
      </x:c>
      <x:c r="F12" s="5" t="n">
        <x:v>32882</x:v>
      </x:c>
      <x:c r="G12" s="5" t="n">
        <x:v>15</x:v>
      </x:c>
      <x:c r="H12" s="5" t="n">
        <x:v>48466</x:v>
      </x:c>
      <x:c r="I12" s="6" t="n">
        <x:f aca="0">SUM(C12:G12)</x:f>
        <x:v>48466</x:v>
      </x:c>
      <x:c r="J12" s="6" t="n">
        <x:f aca="0">H12-I12</x:f>
        <x:v>0</x:v>
      </x:c>
    </x:row>
    <x:row r="13" ht="15" hidden="0">
      <x:c r="A13" s="4" t="s">
        <x:v>96</x:v>
      </x:c>
      <x:c r="B13" s="4" t="s">
        <x:v>90</x:v>
      </x:c>
      <x:c r="C13" s="5" t="n">
        <x:v>-3224</x:v>
      </x:c>
      <x:c r="D13" s="5" t="n">
        <x:v>-5838</x:v>
      </x:c>
      <x:c r="E13" s="5" t="n">
        <x:v>-28</x:v>
      </x:c>
      <x:c r="F13" s="5" t="n">
        <x:v>-21595</x:v>
      </x:c>
      <x:c r="G13" s="5" t="n">
        <x:v>0</x:v>
      </x:c>
      <x:c r="H13" s="5" t="n">
        <x:v>-30685</x:v>
      </x:c>
      <x:c r="I13" s="6" t="n">
        <x:f aca="0">SUM(C13:G13)</x:f>
        <x:v>-30685</x:v>
      </x:c>
      <x:c r="J13" s="6" t="n">
        <x:f aca="0">H13-I13</x:f>
        <x:v>0</x:v>
      </x:c>
    </x:row>
    <x:row r="14" ht="15" hidden="0">
      <x:c r="A14" s="4" t="s">
        <x:v>96</x:v>
      </x:c>
      <x:c r="B14" s="4" t="s">
        <x:v>91</x:v>
      </x:c>
      <x:c r="C14" s="5" t="n">
        <x:v>-5792</x:v>
      </x:c>
      <x:c r="D14" s="5" t="n">
        <x:v>-60684</x:v>
      </x:c>
      <x:c r="E14" s="5" t="n">
        <x:v>0</x:v>
      </x:c>
      <x:c r="F14" s="5" t="n">
        <x:v>-742</x:v>
      </x:c>
      <x:c r="G14" s="5" t="n">
        <x:v>0</x:v>
      </x:c>
      <x:c r="H14" s="5" t="n">
        <x:v>-67218</x:v>
      </x:c>
      <x:c r="I14" s="6" t="n">
        <x:f aca="0">SUM(C14:G14)</x:f>
        <x:v>-67218</x:v>
      </x:c>
      <x:c r="J14" s="6" t="n">
        <x:f aca="0">H14-I14</x:f>
        <x:v>0</x:v>
      </x:c>
    </x:row>
    <x:row r="15" ht="15" hidden="0">
      <x:c r="A15" s="4" t="s">
        <x:v>96</x:v>
      </x:c>
      <x:c r="B15" s="4" t="s">
        <x:v>92</x:v>
      </x:c>
      <x:c r="C15" s="5" t="n">
        <x:v>4240</x:v>
      </x:c>
      <x:c r="D15" s="5" t="n">
        <x:v>6883</x:v>
      </x:c>
      <x:c r="E15" s="5" t="n">
        <x:v>24</x:v>
      </x:c>
      <x:c r="F15" s="5" t="n">
        <x:v>3986</x:v>
      </x:c>
      <x:c r="G15" s="5" t="n">
        <x:v>68</x:v>
      </x:c>
      <x:c r="H15" s="5" t="n">
        <x:v>15201</x:v>
      </x:c>
      <x:c r="I15" s="6" t="n">
        <x:f aca="0">SUM(C15:G15)</x:f>
        <x:v>15201</x:v>
      </x:c>
      <x:c r="J15" s="6" t="n">
        <x:f aca="0">H15-I15</x:f>
        <x:v>0</x:v>
      </x:c>
    </x:row>
    <x:row r="16" ht="15" hidden="0">
      <x:c r="A16" s="4" t="s">
        <x:v>96</x:v>
      </x:c>
      <x:c r="B16" s="4" t="s">
        <x:v>93</x:v>
      </x:c>
      <x:c r="C16" s="5" t="n">
        <x:v>39219</x:v>
      </x:c>
      <x:c r="D16" s="5" t="n">
        <x:v>77081</x:v>
      </x:c>
      <x:c r="E16" s="5" t="n">
        <x:v>476</x:v>
      </x:c>
      <x:c r="F16" s="5" t="n">
        <x:v>45709</x:v>
      </x:c>
      <x:c r="G16" s="5" t="n">
        <x:v>550</x:v>
      </x:c>
      <x:c r="H16" s="5" t="n">
        <x:v>163035</x:v>
      </x:c>
      <x:c r="I16" s="6" t="n">
        <x:f aca="0">SUM(C16:G16)</x:f>
        <x:v>163035</x:v>
      </x:c>
      <x:c r="J16" s="6" t="n">
        <x:f aca="0">H16-I16</x:f>
        <x:v>0</x:v>
      </x:c>
    </x:row>
    <x:row r="17" ht="28.350000381469727" hidden="0">
      <x:c r="A17" s="4" t="s">
        <x:v>96</x:v>
      </x:c>
      <x:c r="B17" s="4" t="s">
        <x:v>94</x:v>
      </x:c>
      <x:c r="C17" s="6" t="n">
        <x:f aca="0">SUM(C11:C15)</x:f>
        <x:v>39219</x:v>
      </x:c>
      <x:c r="D17" s="6" t="n">
        <x:f aca="0">SUM(D11:D15)</x:f>
        <x:v>77081</x:v>
      </x:c>
      <x:c r="E17" s="6" t="n">
        <x:f aca="0">SUM(E11:E15)</x:f>
        <x:v>476</x:v>
      </x:c>
      <x:c r="F17" s="6" t="n">
        <x:f aca="0">SUM(F11:F15)</x:f>
        <x:v>45709</x:v>
      </x:c>
      <x:c r="G17" s="6" t="n">
        <x:f aca="0">SUM(G11:G15)</x:f>
        <x:v>550</x:v>
      </x:c>
      <x:c r="H17" s="6" t="n">
        <x:f aca="0">SUM(H11:H15)</x:f>
        <x:v>163035</x:v>
      </x:c>
    </x:row>
    <x:row r="18" ht="28.350000381469727" hidden="0">
      <x:c r="A18" s="4" t="s">
        <x:v>96</x:v>
      </x:c>
      <x:c r="B18" s="4" t="s">
        <x:v>95</x:v>
      </x:c>
      <x:c r="C18" s="6" t="n">
        <x:f aca="0">C17-C16</x:f>
        <x:v>0</x:v>
      </x:c>
      <x:c r="D18" s="6" t="n">
        <x:f aca="0">D17-D16</x:f>
        <x:v>0</x:v>
      </x:c>
      <x:c r="E18" s="6" t="n">
        <x:f aca="0">E17-E16</x:f>
        <x:v>0</x:v>
      </x:c>
      <x:c r="F18" s="6" t="n">
        <x:f aca="0">F17-F16</x:f>
        <x:v>0</x:v>
      </x:c>
      <x:c r="G18" s="6" t="n">
        <x:f aca="0">G17-G16</x:f>
        <x:v>0</x:v>
      </x:c>
      <x:c r="H18" s="6" t="n">
        <x:f aca="0">H17-H16</x:f>
        <x:v>0</x:v>
      </x:c>
    </x:row>
    <x:row r="20" ht="41.75" hidden="0">
      <x:c r="A20" s="4" t="s">
        <x:v>12</x:v>
      </x:c>
      <x:c r="B20" s="4" t="s">
        <x:v>97</x:v>
      </x:c>
    </x:row>
    <x:row r="21" ht="28.350000381469727" hidden="0">
      <x:c r="A21" s="4" t="s">
        <x:v>98</x:v>
      </x:c>
      <x:c r="B21" s="4" t="s">
        <x:v>99</x:v>
      </x:c>
      <x:c r="C21" s="4"/>
      <x:c r="D21" s="4"/>
      <x:c r="E21" s="4"/>
      <x:c r="F21" s="4"/>
      <x:c r="G21" s="4"/>
      <x:c r="H21" s="6" t="n">
        <x:f aca="0">H3+H4</x:f>
        <x:v>8498</x:v>
      </x:c>
      <x:c r="I21" s="5" t="n">
        <x:v>8498</x:v>
      </x:c>
      <x:c r="J21" s="6" t="n">
        <x:f aca="0">H21-I21</x:f>
        <x:v>0</x:v>
      </x:c>
      <x:c r="K21" s="10" t="s">
        <x:v>100</x:v>
      </x:c>
    </x:row>
    <x:row r="22" ht="28.350000381469727" hidden="0">
      <x:c r="A22" s="4" t="s">
        <x:v>98</x:v>
      </x:c>
      <x:c r="B22" s="4" t="s">
        <x:v>99</x:v>
      </x:c>
      <x:c r="C22" s="4"/>
      <x:c r="D22" s="4"/>
      <x:c r="E22" s="4"/>
      <x:c r="F22" s="4"/>
      <x:c r="G22" s="4"/>
      <x:c r="H22" s="6" t="n">
        <x:f aca="0">H12+H13</x:f>
        <x:v>17781</x:v>
      </x:c>
      <x:c r="I22" s="5" t="n">
        <x:v>17781</x:v>
      </x:c>
      <x:c r="J22" s="6" t="n">
        <x:f aca="0">H22-I22</x:f>
        <x:v>0</x:v>
      </x:c>
      <x:c r="K22" s="10" t="s">
        <x:v>101</x:v>
      </x:c>
    </x:row>
    <x:row r="23" ht="28.350000381469727" hidden="0">
      <x:c r="A23" s="4" t="s">
        <x:v>98</x:v>
      </x:c>
      <x:c r="B23" s="4" t="s">
        <x:v>102</x:v>
      </x:c>
      <x:c r="C23" s="4"/>
      <x:c r="D23" s="4"/>
      <x:c r="E23" s="4"/>
      <x:c r="F23" s="4"/>
      <x:c r="G23" s="4"/>
      <x:c r="H23" s="6" t="n">
        <x:f aca="0">H14</x:f>
        <x:v>-67218</x:v>
      </x:c>
      <x:c r="I23" s="5" t="n">
        <x:v>-67218</x:v>
      </x:c>
      <x:c r="J23" s="6" t="n">
        <x:f aca="0">H23-I23</x:f>
        <x:v>0</x:v>
      </x:c>
      <x:c r="K23" s="10" t="s">
        <x:v>101</x:v>
      </x:c>
    </x:row>
    <x:row r="24" ht="28.350000381469727" hidden="0">
      <x:c r="A24" s="4" t="s">
        <x:v>103</x:v>
      </x:c>
      <x:c r="B24" s="4" t="s">
        <x:v>104</x:v>
      </x:c>
      <x:c r="C24" s="4"/>
      <x:c r="D24" s="4"/>
      <x:c r="E24" s="4"/>
      <x:c r="F24" s="4"/>
      <x:c r="G24" s="4"/>
      <x:c r="H24" s="5" t="n">
        <x:v>180046</x:v>
      </x:c>
      <x:c r="I24" s="4"/>
      <x:c r="J24" s="4"/>
      <x:c r="K24" s="10" t="s">
        <x:v>105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40" hidden="0" customWidth="1"/>
    <x:col min="2" max="6" width="14" hidden="0" customWidth="1"/>
    <x:col min="7" max="7" width="60" hidden="0" customWidth="1"/>
  </x:cols>
  <x:sheetData>
    <x:row r="1" ht="28.350000381469727" hidden="0">
      <x:c r="A1" s="3" t="s">
        <x:v>106</x:v>
      </x:c>
      <x:c r="B1" s="3" t="s">
        <x:v>8</x:v>
      </x:c>
      <x:c r="C1" s="3" t="s">
        <x:v>9</x:v>
      </x:c>
      <x:c r="D1" s="3" t="s">
        <x:v>10</x:v>
      </x:c>
      <x:c r="E1" s="3" t="s">
        <x:v>11</x:v>
      </x:c>
      <x:c r="F1" s="3" t="s">
        <x:v>107</x:v>
      </x:c>
      <x:c r="G1" s="3" t="s">
        <x:v>108</x:v>
      </x:c>
    </x:row>
    <x:row r="2" ht="15" hidden="0">
      <x:c r="A2" s="4" t="s">
        <x:v>109</x:v>
      </x:c>
      <x:c r="B2" s="5" t="n">
        <x:v>21767</x:v>
      </x:c>
      <x:c r="C2" s="5" t="n">
        <x:v>23208</x:v>
      </x:c>
      <x:c r="D2" s="5" t="n">
        <x:v>22562</x:v>
      </x:c>
      <x:c r="E2" s="5" t="n">
        <x:v>24064</x:v>
      </x:c>
      <x:c r="F2" s="6" t="n">
        <x:f aca="0">D2-E2</x:f>
        <x:v>-1502</x:v>
      </x:c>
      <x:c r="G2" s="4"/>
    </x:row>
    <x:row r="3" ht="15" hidden="0">
      <x:c r="A3" s="4" t="s">
        <x:v>110</x:v>
      </x:c>
      <x:c r="B3" s="5" t="n">
        <x:v>8608</x:v>
      </x:c>
      <x:c r="C3" s="5" t="n">
        <x:v>8546</x:v>
      </x:c>
      <x:c r="D3" s="5" t="n">
        <x:v>8608</x:v>
      </x:c>
      <x:c r="E3" s="5" t="n">
        <x:v>8546</x:v>
      </x:c>
      <x:c r="F3" s="6" t="n">
        <x:f aca="0">D3-E3</x:f>
        <x:v>62</x:v>
      </x:c>
      <x:c r="G3" s="4"/>
    </x:row>
    <x:row r="4" ht="28.350000381469727" hidden="0">
      <x:c r="A4" s="4" t="s">
        <x:v>111</x:v>
      </x:c>
      <x:c r="B4" s="5" t="n">
        <x:v>202835</x:v>
      </x:c>
      <x:c r="C4" s="5" t="n">
        <x:v>182865</x:v>
      </x:c>
      <x:c r="D4" s="5" t="n">
        <x:v>251621</x:v>
      </x:c>
      <x:c r="E4" s="5" t="n">
        <x:v>226945</x:v>
      </x:c>
      <x:c r="F4" s="6" t="n">
        <x:f aca="0">D4-E4</x:f>
        <x:v>24676</x:v>
      </x:c>
      <x:c r="G4" s="4" t="s">
        <x:v>112</x:v>
      </x:c>
    </x:row>
    <x:row r="5" ht="15" hidden="0">
      <x:c r="A5" s="4" t="s">
        <x:v>113</x:v>
      </x:c>
      <x:c r="B5" s="5" t="n">
        <x:v>110173</x:v>
      </x:c>
      <x:c r="C5" s="5" t="n">
        <x:v>103257</x:v>
      </x:c>
      <x:c r="D5" s="5" t="n">
        <x:v>110173</x:v>
      </x:c>
      <x:c r="E5" s="5" t="n">
        <x:v>103257</x:v>
      </x:c>
      <x:c r="F5" s="6" t="n">
        <x:f aca="0">D5-E5</x:f>
        <x:v>6916</x:v>
      </x:c>
      <x:c r="G5" s="4" t="s">
        <x:v>114</x:v>
      </x:c>
    </x:row>
    <x:row r="6" ht="15" hidden="0">
      <x:c r="A6" s="4" t="s">
        <x:v>115</x:v>
      </x:c>
      <x:c r="B6" s="5" t="n">
        <x:v>67343</x:v>
      </x:c>
      <x:c r="C6" s="5" t="n">
        <x:v>57366</x:v>
      </x:c>
      <x:c r="D6" s="5" t="n">
        <x:v>67343</x:v>
      </x:c>
      <x:c r="E6" s="5" t="n">
        <x:v>57366</x:v>
      </x:c>
      <x:c r="F6" s="6" t="n">
        <x:f aca="0">D6-E6</x:f>
        <x:v>9977</x:v>
      </x:c>
      <x:c r="G6" s="4" t="s">
        <x:v>116</x:v>
      </x:c>
    </x:row>
    <x:row r="7" ht="15" hidden="0">
      <x:c r="A7" s="4" t="s">
        <x:v>117</x:v>
      </x:c>
      <x:c r="B7" s="5" t="n">
        <x:v>140246</x:v>
      </x:c>
      <x:c r="C7" s="5" t="n">
        <x:v>131618</x:v>
      </x:c>
      <x:c r="D7" s="5" t="n">
        <x:v>140246</x:v>
      </x:c>
      <x:c r="E7" s="5" t="n">
        <x:v>131618</x:v>
      </x:c>
      <x:c r="F7" s="6" t="n">
        <x:f aca="0">D7-E7</x:f>
        <x:v>8628</x:v>
      </x:c>
      <x:c r="G7" s="4"/>
    </x:row>
    <x:row r="8" ht="28.350000381469727" hidden="0">
      <x:c r="A8" s="4" t="s">
        <x:v>118</x:v>
      </x:c>
      <x:c r="B8" s="5" t="n">
        <x:v>0</x:v>
      </x:c>
      <x:c r="C8" s="5" t="n">
        <x:v>0</x:v>
      </x:c>
      <x:c r="D8" s="5" t="n">
        <x:v>237691</x:v>
      </x:c>
      <x:c r="E8" s="5" t="n">
        <x:v>197164</x:v>
      </x:c>
      <x:c r="F8" s="6" t="n">
        <x:f aca="0">D8-E8</x:f>
        <x:v>40527</x:v>
      </x:c>
      <x:c r="G8" s="4" t="s">
        <x:v>119</x:v>
      </x:c>
    </x:row>
    <x:row r="9" ht="15" hidden="0">
      <x:c r="A9" s="4" t="s">
        <x:v>120</x:v>
      </x:c>
      <x:c r="B9" s="5" t="n">
        <x:v>53331</x:v>
      </x:c>
      <x:c r="C9" s="5" t="n">
        <x:v>24052</x:v>
      </x:c>
      <x:c r="D9" s="5" t="n">
        <x:v>60052</x:v>
      </x:c>
      <x:c r="E9" s="5" t="n">
        <x:v>33735</x:v>
      </x:c>
      <x:c r="F9" s="6" t="n">
        <x:f aca="0">D9-E9</x:f>
        <x:v>26317</x:v>
      </x:c>
      <x:c r="G9" s="4"/>
    </x:row>
    <x:row r="10" ht="15" hidden="0">
      <x:c r="A10" s="4" t="s">
        <x:v>85</x:v>
      </x:c>
      <x:c r="B10" s="6" t="n">
        <x:f aca="0">SUM(B2:B9)</x:f>
        <x:v>604303</x:v>
      </x:c>
      <x:c r="C10" s="6" t="n">
        <x:f aca="0">SUM(C2:C9)</x:f>
        <x:v>530912</x:v>
      </x:c>
      <x:c r="D10" s="6" t="n">
        <x:f aca="0">SUM(D2:D9)</x:f>
        <x:v>898296</x:v>
      </x:c>
      <x:c r="E10" s="6" t="n">
        <x:f aca="0">SUM(E2:E9)</x:f>
        <x:v>782695</x:v>
      </x:c>
      <x:c r="F10" s="6" t="n">
        <x:f aca="0">D10-E10</x:f>
        <x:v>115601</x:v>
      </x:c>
      <x:c r="G10" s="4"/>
    </x:row>
    <x:row r="11" ht="15" hidden="0">
      <x:c r="A11" s="4" t="s">
        <x:v>121</x:v>
      </x:c>
      <x:c r="B11" s="5" t="n">
        <x:v>604303</x:v>
      </x:c>
      <x:c r="C11" s="5" t="n">
        <x:v>530912</x:v>
      </x:c>
      <x:c r="D11" s="5" t="n">
        <x:v>898296</x:v>
      </x:c>
      <x:c r="E11" s="5" t="n">
        <x:v>782695</x:v>
      </x:c>
      <x:c r="F11" s="4"/>
      <x:c r="G11" s="4" t="s">
        <x:v>122</x:v>
      </x:c>
    </x:row>
    <x:row r="12" ht="28.350000381469727" hidden="0">
      <x:c r="A12" s="4" t="s">
        <x:v>123</x:v>
      </x:c>
      <x:c r="B12" s="5" t="n">
        <x:v>604303</x:v>
      </x:c>
      <x:c r="C12" s="5" t="n">
        <x:v>530912</x:v>
      </x:c>
      <x:c r="D12" s="5" t="n">
        <x:v>898295</x:v>
      </x:c>
      <x:c r="E12" s="5" t="n">
        <x:v>782695</x:v>
      </x:c>
      <x:c r="F12" s="4"/>
      <x:c r="G12" s="4" t="s">
        <x:v>124</x:v>
      </x:c>
    </x:row>
    <x:row r="13" ht="15" hidden="0">
      <x:c r="A13" s="4" t="s">
        <x:v>125</x:v>
      </x:c>
      <x:c r="B13" s="6" t="n">
        <x:f aca="0">B10-B11</x:f>
        <x:v>0</x:v>
      </x:c>
      <x:c r="C13" s="6" t="n">
        <x:f aca="0">C10-C11</x:f>
        <x:v>0</x:v>
      </x:c>
      <x:c r="D13" s="6" t="n">
        <x:f aca="0">D10-D11</x:f>
        <x:v>0</x:v>
      </x:c>
      <x:c r="E13" s="6" t="n">
        <x:f aca="0">E10-E11</x:f>
        <x:v>0</x:v>
      </x:c>
      <x:c r="F13" s="4"/>
      <x:c r="G13" s="4" t="s">
        <x:v>24</x:v>
      </x:c>
    </x:row>
    <x:row r="14" ht="15" hidden="0">
      <x:c r="A14" s="4" t="s">
        <x:v>126</x:v>
      </x:c>
      <x:c r="B14" s="4"/>
      <x:c r="C14" s="4"/>
      <x:c r="D14" s="9" t="n">
        <x:f aca="0">D11/90000</x:f>
        <x:v>9.981066666666667</x:v>
      </x:c>
      <x:c r="E14" s="9" t="n">
        <x:f aca="0">E11/90000</x:f>
        <x:v>8.69661111111111</x:v>
      </x:c>
      <x:c r="F14" s="4"/>
      <x:c r="G14" s="4"/>
    </x:row>
    <x:row r="16" ht="28.350000381469727" hidden="0">
      <x:c r="A16" s="4" t="s">
        <x:v>127</x:v>
      </x:c>
      <x:c r="B16" s="4" t="s">
        <x:v>87</x:v>
      </x:c>
      <x:c r="C16" s="4"/>
      <x:c r="D16" s="4" t="s">
        <x:v>96</x:v>
      </x:c>
      <x:c r="E16" s="4"/>
      <x:c r="F16" s="4" t="s">
        <x:v>128</x:v>
      </x:c>
      <x:c r="G16" s="4"/>
    </x:row>
    <x:row r="17" ht="15" hidden="0">
      <x:c r="A17" s="4" t="s">
        <x:v>129</x:v>
      </x:c>
      <x:c r="B17" s="5" t="n">
        <x:v>683707</x:v>
      </x:c>
      <x:c r="C17" s="4"/>
      <x:c r="D17" s="5" t="n">
        <x:v>968779</x:v>
      </x:c>
      <x:c r="E17" s="4"/>
      <x:c r="F17" s="7" t="n">
        <x:f aca="0">D17/D11-1</x:f>
        <x:v>0.07846300105978421</x:v>
      </x:c>
      <x:c r="G17" s="4" t="s">
        <x:v>130</x:v>
      </x:c>
    </x:row>
    <x:row r="18" ht="15" hidden="0">
      <x:c r="A18" s="4" t="s">
        <x:v>131</x:v>
      </x:c>
      <x:c r="B18" s="5" t="n">
        <x:v>788436</x:v>
      </x:c>
      <x:c r="C18" s="4"/>
      <x:c r="D18" s="5" t="n">
        <x:v>1092563</x:v>
      </x:c>
      <x:c r="E18" s="4"/>
      <x:c r="F18" s="7" t="n">
        <x:f aca="0">D18/D11-1</x:f>
        <x:v>0.21626167766526838</x:v>
      </x:c>
      <x:c r="G18" s="4" t="s">
        <x:v>132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34" hidden="0" customWidth="1"/>
    <x:col min="2" max="2" width="18" hidden="0" customWidth="1"/>
    <x:col min="3" max="3" width="14" hidden="0" customWidth="1"/>
    <x:col min="4" max="4" width="22" hidden="0" customWidth="1"/>
    <x:col min="5" max="5" width="10" hidden="0" customWidth="1"/>
    <x:col min="6" max="6" width="62" hidden="0" customWidth="1"/>
    <x:col min="7" max="7" width="46" hidden="0" customWidth="1"/>
  </x:cols>
  <x:sheetData>
    <x:row r="1" ht="28.350000381469727" hidden="0">
      <x:c r="A1" s="3" t="s">
        <x:v>133</x:v>
      </x:c>
      <x:c r="B1" s="3" t="s">
        <x:v>134</x:v>
      </x:c>
      <x:c r="C1" s="3" t="s">
        <x:v>135</x:v>
      </x:c>
      <x:c r="D1" s="3" t="s">
        <x:v>136</x:v>
      </x:c>
      <x:c r="E1" s="3" t="s">
        <x:v>137</x:v>
      </x:c>
      <x:c r="F1" s="3" t="s">
        <x:v>138</x:v>
      </x:c>
      <x:c r="G1" s="3" t="s">
        <x:v>139</x:v>
      </x:c>
    </x:row>
    <x:row r="2" ht="41.75" hidden="0">
      <x:c r="A2" s="4" t="s">
        <x:v>140</x:v>
      </x:c>
      <x:c r="B2" s="4" t="s">
        <x:v>141</x:v>
      </x:c>
      <x:c r="C2" s="5" t="n">
        <x:v>58837</x:v>
      </x:c>
      <x:c r="D2" s="4" t="s">
        <x:v>142</x:v>
      </x:c>
      <x:c r="E2" s="4" t="s">
        <x:v>143</x:v>
      </x:c>
      <x:c r="F2" s="4" t="s">
        <x:v>144</x:v>
      </x:c>
      <x:c r="G2" s="4" t="s">
        <x:v>145</x:v>
      </x:c>
    </x:row>
    <x:row r="3" ht="41.75" hidden="0">
      <x:c r="A3" s="4" t="s">
        <x:v>146</x:v>
      </x:c>
      <x:c r="B3" s="4" t="s">
        <x:v>147</x:v>
      </x:c>
      <x:c r="C3" s="5" t="n">
        <x:v>9937</x:v>
      </x:c>
      <x:c r="D3" s="4" t="s">
        <x:v>148</x:v>
      </x:c>
      <x:c r="E3" s="4" t="s">
        <x:v>149</x:v>
      </x:c>
      <x:c r="F3" s="4" t="s">
        <x:v>150</x:v>
      </x:c>
      <x:c r="G3" s="4" t="s">
        <x:v>151</x:v>
      </x:c>
    </x:row>
    <x:row r="4" ht="41.75" hidden="0">
      <x:c r="A4" s="4" t="s">
        <x:v>152</x:v>
      </x:c>
      <x:c r="B4" s="4" t="s">
        <x:v>153</x:v>
      </x:c>
      <x:c r="C4" s="5" t="n">
        <x:v>2760806</x:v>
      </x:c>
      <x:c r="D4" s="4" t="s">
        <x:v>154</x:v>
      </x:c>
      <x:c r="E4" s="4" t="s">
        <x:v>155</x:v>
      </x:c>
      <x:c r="F4" s="4" t="s">
        <x:v>156</x:v>
      </x:c>
      <x:c r="G4" s="4" t="s">
        <x:v>157</x:v>
      </x:c>
    </x:row>
    <x:row r="5" ht="41.75" hidden="0">
      <x:c r="A5" s="4" t="s">
        <x:v>158</x:v>
      </x:c>
      <x:c r="B5" s="4" t="s">
        <x:v>159</x:v>
      </x:c>
      <x:c r="C5" s="5" t="n">
        <x:v>1788000</x:v>
      </x:c>
      <x:c r="D5" s="4" t="s">
        <x:v>160</x:v>
      </x:c>
      <x:c r="E5" s="4" t="s">
        <x:v>161</x:v>
      </x:c>
      <x:c r="F5" s="4" t="s">
        <x:v>162</x:v>
      </x:c>
      <x:c r="G5" s="4" t="s">
        <x:v>163</x:v>
      </x:c>
    </x:row>
    <x:row r="6" ht="28.350000381469727" hidden="0">
      <x:c r="A6" s="4" t="s">
        <x:v>164</x:v>
      </x:c>
      <x:c r="B6" s="4" t="s">
        <x:v>159</x:v>
      </x:c>
      <x:c r="C6" s="5" t="n">
        <x:v>3110000</x:v>
      </x:c>
      <x:c r="D6" s="4" t="s">
        <x:v>165</x:v>
      </x:c>
      <x:c r="E6" s="4" t="s">
        <x:v>149</x:v>
      </x:c>
      <x:c r="F6" s="4" t="s">
        <x:v>166</x:v>
      </x:c>
      <x:c r="G6" s="4" t="s">
        <x:v>167</x:v>
      </x:c>
    </x:row>
    <x:row r="7" ht="15" hidden="0">
      <x:c r="A7" s="4" t="s">
        <x:v>168</x:v>
      </x:c>
      <x:c r="B7" s="4" t="s">
        <x:v>169</x:v>
      </x:c>
      <x:c r="C7" s="5" t="n">
        <x:v>237691</x:v>
      </x:c>
      <x:c r="D7" s="4" t="s">
        <x:v>170</x:v>
      </x:c>
      <x:c r="E7" s="4" t="s">
        <x:v>161</x:v>
      </x:c>
      <x:c r="F7" s="4" t="s">
        <x:v>171</x:v>
      </x:c>
      <x:c r="G7" s="4" t="s">
        <x:v>167</x:v>
      </x:c>
    </x:row>
    <x:row r="8" ht="15" hidden="0">
      <x:c r="A8" s="4" t="s">
        <x:v>172</x:v>
      </x:c>
      <x:c r="B8" s="4" t="s">
        <x:v>169</x:v>
      </x:c>
      <x:c r="C8" s="5" t="n">
        <x:v>110173</x:v>
      </x:c>
      <x:c r="D8" s="4" t="s">
        <x:v>170</x:v>
      </x:c>
      <x:c r="E8" s="4" t="s">
        <x:v>161</x:v>
      </x:c>
      <x:c r="F8" s="4"/>
      <x:c r="G8" s="4" t="s">
        <x:v>167</x:v>
      </x:c>
    </x:row>
    <x:row r="9" ht="55.20000076293945" hidden="0">
      <x:c r="A9" s="4" t="s">
        <x:v>173</x:v>
      </x:c>
      <x:c r="B9" s="4" t="s">
        <x:v>174</x:v>
      </x:c>
      <x:c r="C9" s="5"/>
      <x:c r="D9" s="4" t="s">
        <x:v>175</x:v>
      </x:c>
      <x:c r="E9" s="4" t="s">
        <x:v>176</x:v>
      </x:c>
      <x:c r="F9" s="4" t="s">
        <x:v>177</x:v>
      </x:c>
      <x:c r="G9" s="4" t="s">
        <x:v>178</x:v>
      </x:c>
    </x:row>
    <x:row r="11" ht="15" hidden="0">
      <x:c r="A11" s="4" t="s">
        <x:v>179</x:v>
      </x:c>
      <x:c r="B11" s="4"/>
      <x:c r="C11" s="5" t="n">
        <x:v>46049</x:v>
      </x:c>
      <x:c r="D11" s="4" t="s">
        <x:v>180</x:v>
      </x:c>
      <x:c r="E11" s="4"/>
      <x:c r="F11" s="4" t="s">
        <x:v>181</x:v>
      </x:c>
      <x:c r="G11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40" hidden="0" customWidth="1"/>
    <x:col min="2" max="2" width="60" hidden="0" customWidth="1"/>
    <x:col min="3" max="3" width="16" hidden="0" customWidth="1"/>
    <x:col min="4" max="4" width="50" hidden="0" customWidth="1"/>
    <x:col min="5" max="5" width="10" hidden="0" customWidth="1"/>
  </x:cols>
  <x:sheetData>
    <x:row r="1" ht="28.350000381469727" hidden="0">
      <x:c r="A1" s="3" t="s">
        <x:v>182</x:v>
      </x:c>
      <x:c r="B1" s="3" t="s">
        <x:v>183</x:v>
      </x:c>
      <x:c r="C1" s="3" t="s">
        <x:v>12</x:v>
      </x:c>
      <x:c r="D1" s="3" t="s">
        <x:v>184</x:v>
      </x:c>
      <x:c r="E1" s="3" t="s">
        <x:v>44</x:v>
      </x:c>
    </x:row>
    <x:row r="2" ht="55.20000076293945" hidden="0">
      <x:c r="A2" s="4" t="s">
        <x:v>185</x:v>
      </x:c>
      <x:c r="B2" s="4" t="s">
        <x:v>186</x:v>
      </x:c>
      <x:c r="C2" s="4" t="s">
        <x:v>187</x:v>
      </x:c>
      <x:c r="D2" s="4" t="s">
        <x:v>188</x:v>
      </x:c>
      <x:c r="E2" s="4" t="s">
        <x:v>189</x:v>
      </x:c>
    </x:row>
    <x:row r="3" ht="28.350000381469727" hidden="0">
      <x:c r="A3" s="4" t="s">
        <x:v>190</x:v>
      </x:c>
      <x:c r="B3" s="4" t="s">
        <x:v>191</x:v>
      </x:c>
      <x:c r="C3" s="4" t="s">
        <x:v>192</x:v>
      </x:c>
      <x:c r="D3" s="4" t="s">
        <x:v>193</x:v>
      </x:c>
      <x:c r="E3" s="4" t="s">
        <x:v>74</x:v>
      </x:c>
    </x:row>
    <x:row r="4" ht="15" hidden="0">
      <x:c r="A4" s="4" t="s">
        <x:v>194</x:v>
      </x:c>
      <x:c r="B4" s="4" t="s">
        <x:v>195</x:v>
      </x:c>
      <x:c r="C4" s="4" t="s">
        <x:v>196</x:v>
      </x:c>
      <x:c r="D4" s="4" t="s">
        <x:v>197</x:v>
      </x:c>
      <x:c r="E4" s="4" t="s">
        <x:v>74</x:v>
      </x:c>
    </x:row>
    <x:row r="5" ht="15" hidden="0">
      <x:c r="A5" s="4" t="s">
        <x:v>198</x:v>
      </x:c>
      <x:c r="B5" s="4" t="s">
        <x:v>199</x:v>
      </x:c>
      <x:c r="C5" s="4" t="s">
        <x:v>200</x:v>
      </x:c>
      <x:c r="D5" s="4" t="s">
        <x:v>201</x:v>
      </x:c>
      <x:c r="E5" s="4" t="s">
        <x:v>74</x:v>
      </x:c>
    </x:row>
    <x:row r="6" ht="28.350000381469727" hidden="0">
      <x:c r="A6" s="4" t="s">
        <x:v>202</x:v>
      </x:c>
      <x:c r="B6" s="4" t="s">
        <x:v>203</x:v>
      </x:c>
      <x:c r="C6" s="4" t="s">
        <x:v>204</x:v>
      </x:c>
      <x:c r="D6" s="4" t="s">
        <x:v>205</x:v>
      </x:c>
      <x:c r="E6" s="4" t="s">
        <x:v>49</x:v>
      </x:c>
    </x:row>
    <x:row r="7" ht="15" hidden="0">
      <x:c r="A7" s="4" t="s">
        <x:v>206</x:v>
      </x:c>
      <x:c r="B7" s="4" t="s">
        <x:v>207</x:v>
      </x:c>
      <x:c r="C7" s="4" t="s">
        <x:v>208</x:v>
      </x:c>
      <x:c r="D7" s="4" t="s">
        <x:v>209</x:v>
      </x:c>
      <x:c r="E7" s="4" t="s">
        <x:v>49</x:v>
      </x:c>
    </x:row>
    <x:row r="8" ht="28.350000381469727" hidden="0">
      <x:c r="A8" s="4" t="s">
        <x:v>210</x:v>
      </x:c>
      <x:c r="B8" s="4" t="s">
        <x:v>211</x:v>
      </x:c>
      <x:c r="C8" s="4" t="s">
        <x:v>208</x:v>
      </x:c>
      <x:c r="D8" s="4" t="s">
        <x:v>212</x:v>
      </x:c>
      <x:c r="E8" s="4" t="s">
        <x:v>74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2" hidden="0" customWidth="1"/>
    <x:col min="2" max="2" width="100" hidden="0" customWidth="1"/>
    <x:col min="3" max="3" width="10" hidden="0" customWidth="1"/>
    <x:col min="4" max="4" width="30" hidden="0" customWidth="1"/>
  </x:cols>
  <x:sheetData>
    <x:row r="1" ht="28.350000381469727" hidden="0">
      <x:c r="A1" s="3" t="s">
        <x:v>42</x:v>
      </x:c>
      <x:c r="B1" s="3" t="s">
        <x:v>213</x:v>
      </x:c>
      <x:c r="C1" s="3" t="s">
        <x:v>44</x:v>
      </x:c>
      <x:c r="D1" s="3" t="s">
        <x:v>46</x:v>
      </x:c>
    </x:row>
    <x:row r="2" ht="15" hidden="0">
      <x:c r="A2" s="4" t="s">
        <x:v>214</x:v>
      </x:c>
      <x:c r="B2" s="4" t="s">
        <x:v>215</x:v>
      </x:c>
      <x:c r="C2" s="4" t="s">
        <x:v>49</x:v>
      </x:c>
      <x:c r="D2" s="4" t="s">
        <x:v>216</x:v>
      </x:c>
    </x:row>
    <x:row r="3" ht="55.20000076293945" hidden="0">
      <x:c r="A3" s="4" t="s">
        <x:v>217</x:v>
      </x:c>
      <x:c r="B3" s="4" t="s">
        <x:v>218</x:v>
      </x:c>
      <x:c r="C3" s="4" t="s">
        <x:v>219</x:v>
      </x:c>
      <x:c r="D3" s="4" t="s">
        <x:v>216</x:v>
      </x:c>
    </x:row>
    <x:row r="4" ht="15" hidden="0">
      <x:c r="A4" s="4" t="s">
        <x:v>220</x:v>
      </x:c>
      <x:c r="B4" s="4" t="s">
        <x:v>221</x:v>
      </x:c>
      <x:c r="C4" s="4" t="s">
        <x:v>49</x:v>
      </x:c>
      <x:c r="D4" s="4" t="s">
        <x:v>216</x:v>
      </x:c>
    </x:row>
    <x:row r="5" ht="28.350000381469727" hidden="0">
      <x:c r="A5" s="4" t="s">
        <x:v>222</x:v>
      </x:c>
      <x:c r="B5" s="4" t="s">
        <x:v>223</x:v>
      </x:c>
      <x:c r="C5" s="4" t="s">
        <x:v>224</x:v>
      </x:c>
      <x:c r="D5" s="4" t="s">
        <x:v>216</x:v>
      </x:c>
    </x:row>
    <x:row r="6" ht="28.350000381469727" hidden="0">
      <x:c r="A6" s="4" t="s">
        <x:v>225</x:v>
      </x:c>
      <x:c r="B6" s="4" t="s">
        <x:v>226</x:v>
      </x:c>
      <x:c r="C6" s="4" t="s">
        <x:v>49</x:v>
      </x:c>
      <x:c r="D6" s="4" t="s">
        <x:v>216</x:v>
      </x:c>
    </x:row>
    <x:row r="7" ht="15" hidden="0">
      <x:c r="A7" s="4" t="s">
        <x:v>227</x:v>
      </x:c>
      <x:c r="B7" s="4" t="s">
        <x:v>228</x:v>
      </x:c>
      <x:c r="C7" s="4" t="s">
        <x:v>49</x:v>
      </x:c>
      <x:c r="D7" s="4" t="s">
        <x:v>216</x:v>
      </x:c>
    </x:row>
    <x:row r="8" ht="15" hidden="0">
      <x:c r="A8" s="4" t="s">
        <x:v>229</x:v>
      </x:c>
      <x:c r="B8" s="4" t="s">
        <x:v>230</x:v>
      </x:c>
      <x:c r="C8" s="4" t="s">
        <x:v>49</x:v>
      </x:c>
      <x:c r="D8" s="4" t="s">
        <x:v>216</x:v>
      </x:c>
    </x:row>
  </x:sheetData>
  <x:pageMargins left="0.7" right="0.7" top="0.75" bottom="0.75" header="0.3" footer="0.3"/>
</x:worksheet>
</file>