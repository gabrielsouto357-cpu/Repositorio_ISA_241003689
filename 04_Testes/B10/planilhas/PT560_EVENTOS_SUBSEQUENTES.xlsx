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6cc393950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0604ede167034151"/>
    <x:sheet xmlns:r="http://schemas.openxmlformats.org/officeDocument/2006/relationships" name="Datas" sheetId="2" r:id="R2264607b68fa41e3"/>
    <x:sheet xmlns:r="http://schemas.openxmlformats.org/officeDocument/2006/relationships" name="Eventos" sheetId="3" r:id="R4579771b63534443"/>
    <x:sheet xmlns:r="http://schemas.openxmlformats.org/officeDocument/2006/relationships" name="Buscas" sheetId="4" r:id="R2d48f79009ca4d39"/>
    <x:sheet xmlns:r="http://schemas.openxmlformats.org/officeDocument/2006/relationships" name="Procedimentos" sheetId="5" r:id="Rd62bca7182464efa"/>
  </x:sheets>
</x:workbook>
</file>

<file path=xl/sharedStrings.xml><?xml version="1.0" encoding="utf-8"?>
<x:sst xmlns:x="http://schemas.openxmlformats.org/spreadsheetml/2006/main">
  <x:si>
    <x:t xml:space="preserve">PT 560 – Eventos subsequentes: datas, publicações posteriores e classificação (ajuste × divulgação × conhecido posteriormente)</x:t>
  </x:si>
  <x:si>
    <x:t xml:space="preserve">NBC TA 560 (R1) (F0001 p.626–639): it. 5 (definições), 6–9 (até a data do relatório), 10–13 (entre o relatório e a divulgação), 14–17 (após a divulgação). CPC 24 (eventos subsequentes).</x:t>
  </x:si>
  <x:si>
    <x:t xml:space="preserve">Janela A = entre 31/12/2025 e 24/02/2026 (período coberto pelos procedimentos até o relatório). Janela B = após o relatório e antes da divulgação. Janela C = após a divulgação (fatos conhecidos posteriormente).</x:t>
  </x:si>
  <x:si>
    <x:t xml:space="preserve">Informação conhecida apenas em 2026 NÃO é tratada como conhecida em 31/12/2025. Datas de publicação reais, conforme a fonte.</x:t>
  </x:si>
  <x:si>
    <x:t xml:space="preserve">Células amarelas = dados transcritos (fonte e página na coluna própria) ou premissas; demais = fórmulas.</x:t>
  </x:si>
  <x:si>
    <x:t xml:space="preserve">Modalidades: [RP] realizado com evidência pública; [PA] planejado/não executável sem acesso; [SD] simulado didático.</x:t>
  </x:si>
  <x:si>
    <x:t xml:space="preserve">Preparado por: matrícula 241003689 (execução assistida por IA) em 21/10/2026. Revisão humana: ____________ (em branco).</x:t>
  </x:si>
  <x:si>
    <x:t xml:space="preserve">Marco</x:t>
  </x:si>
  <x:si>
    <x:t xml:space="preserve">Data</x:t>
  </x:si>
  <x:si>
    <x:t xml:space="preserve">Fonte</x:t>
  </x:si>
  <x:si>
    <x:t xml:space="preserve">Observação</x:t>
  </x:si>
  <x:si>
    <x:t xml:space="preserve">Data das demonstrações contábeis (560 it. 5(a))</x:t>
  </x:si>
  <x:si>
    <x:t xml:space="preserve">F0003 p.23</x:t>
  </x:si>
  <x:si>
    <x:t xml:space="preserve">Aprovação/autorização pelo CA (it. 5(b))</x:t>
  </x:si>
  <x:si>
    <x:t xml:space="preserve">Data do relatório do auditor (Deloitte) (it. 5(c))</x:t>
  </x:si>
  <x:si>
    <x:t xml:space="preserve">F0003 p.139</x:t>
  </x:si>
  <x:si>
    <x:t xml:space="preserve">Mesma data da aprovação: requisito do it. 11(b)(ii)/A3 atendido</x:t>
  </x:si>
  <x:si>
    <x:t xml:space="preserve">Divulgação das DFs (it. 5(d)) – CVM</x:t>
  </x:si>
  <x:si>
    <x:t xml:space="preserve">Janela B praticamente nula (mesmo dia)</x:t>
  </x:si>
  <x:si>
    <x:t xml:space="preserve">Publicação em jornal</x:t>
  </x:si>
  <x:si>
    <x:t xml:space="preserve">Valor Econômico</x:t>
  </x:si>
  <x:si>
    <x:t xml:space="preserve">AGO – aprovação das DFs pelos acionistas</x:t>
  </x:si>
  <x:si>
    <x:t xml:space="preserve">"sem reserva"</x:t>
  </x:si>
  <x:si>
    <x:t xml:space="preserve">Data de corte da pesquisa deste PT</x:t>
  </x:si>
  <x:si>
    <x:t xml:space="preserve">Não declarar data posterior sem nova consulta (P48)</x:t>
  </x:si>
  <x:si>
    <x:t xml:space="preserve">Dias entre o encerramento e o relatório</x:t>
  </x:si>
  <x:si>
    <x:t xml:space="preserve">Fórmula</x:t>
  </x:si>
  <x:si>
    <x:t xml:space="preserve">Dias entre o relatório e a data de corte da pesquisa</x:t>
  </x:si>
  <x:si>
    <x:t xml:space="preserve">Período de "fatos conhecidos posteriormente" examinado</x:t>
  </x:si>
  <x:si>
    <x:t xml:space="preserve">ID</x:t>
  </x:si>
  <x:si>
    <x:t xml:space="preserve">Data do evento</x:t>
  </x:si>
  <x:si>
    <x:t xml:space="preserve">Data da publicação</x:t>
  </x:si>
  <x:si>
    <x:t xml:space="preserve">Fonte (ID e página)</x:t>
  </x:si>
  <x:si>
    <x:t xml:space="preserve">Descrição</x:t>
  </x:si>
  <x:si>
    <x:t xml:space="preserve">Janela</x:t>
  </x:si>
  <x:si>
    <x:t xml:space="preserve">Condição existia em 31/12/2025?</x:t>
  </x:si>
  <x:si>
    <x:t xml:space="preserve">Classificação (CPC 24)</x:t>
  </x:si>
  <x:si>
    <x:t xml:space="preserve">Tratamento nas DFs de 2025</x:t>
  </x:si>
  <x:si>
    <x:t xml:space="preserve">Leitura / conclusão</x:t>
  </x:si>
  <x:si>
    <x:t xml:space="preserve">Modalidade</x:t>
  </x:si>
  <x:si>
    <x:t xml:space="preserve">E01</x:t>
  </x:si>
  <x:si>
    <x:t xml:space="preserve">F0091; F0202 (escritura); F0099; F0003 p.122</x:t>
  </x:si>
  <x:si>
    <x:t xml:space="preserve">21ª emissão de debêntures: R$3.854.626, 3 séries CDI+; integralização 02–11/02/2026; recursos para recompra/resgate/pré-pagamento de outras emissões</x:t>
  </x:si>
  <x:si>
    <x:t xml:space="preserve">A</x:t>
  </x:si>
  <x:si>
    <x:t xml:space="preserve">Não (captação nova)</x:t>
  </x:si>
  <x:si>
    <x:t xml:space="preserve">Não ajuste</x:t>
  </x:si>
  <x:si>
    <x:t xml:space="preserve">Divulgado – nota 26(a)</x:t>
  </x:si>
  <x:si>
    <x:t xml:space="preserve">Divulgação adequada pelo texto; refinanciamento após a data do balanço não altera a classificação de 31/12/2025 (CPC 26 it. 72)</x:t>
  </x:si>
  <x:si>
    <x:t xml:space="preserve">[RP]</x:t>
  </x:si>
  <x:si>
    <x:t xml:space="preserve">E02</x:t>
  </x:si>
  <x:si>
    <x:t xml:space="preserve">F0092–F0095; F0097 (26/01/2026)</x:t>
  </x:si>
  <x:si>
    <x:t xml:space="preserve">Ofertas de aquisição facultativa (9ª, 13ª, 15ª, 16ª emissões) e atualização de cronograma</x:t>
  </x:si>
  <x:si>
    <x:t xml:space="preserve">Não</x:t>
  </x:si>
  <x:si>
    <x:t xml:space="preserve">Coberto genericamente pela nota 26(a)</x:t>
  </x:si>
  <x:si>
    <x:t xml:space="preserve">Sem efeito em 31/12/2025; ver PT 570 (gestão de passivos)</x:t>
  </x:si>
  <x:si>
    <x:t xml:space="preserve">E03</x:t>
  </x:si>
  <x:si>
    <x:t xml:space="preserve">?</x:t>
  </x:si>
  <x:si>
    <x:t xml:space="preserve">A avaliar</x:t>
  </x:si>
  <x:si>
    <x:t xml:space="preserve">—</x:t>
  </x:si>
  <x:si>
    <x:t xml:space="preserve">Ler a ata (560 it. 7(c)) – P48</x:t>
  </x:si>
  <x:si>
    <x:t xml:space="preserve">[PA]</x:t>
  </x:si>
  <x:si>
    <x:t xml:space="preserve">E04</x:t>
  </x:si>
  <x:si>
    <x:t xml:space="preserve">Dividendos adicionais de R$279.322 aprovados pelo CA</x:t>
  </x:si>
  <x:si>
    <x:t xml:space="preserve">Não (declarados após o balanço)</x:t>
  </x:si>
  <x:si>
    <x:t xml:space="preserve">Não ajuste (CPC 24 it. 12–13)</x:t>
  </x:si>
  <x:si>
    <x:t xml:space="preserve">No PL como "dividendos adicionais propostos" e na nota 26(b)</x:t>
  </x:si>
  <x:si>
    <x:t xml:space="preserve">Tratamento coerente com o CPC 24</x:t>
  </x:si>
  <x:si>
    <x:t xml:space="preserve">E05</x:t>
  </x:si>
  <x:si>
    <x:t xml:space="preserve">F0109 p.35 (primeira divulgação localizada); F0003 (ausente)</x:t>
  </x:si>
  <x:si>
    <x:t xml:space="preserve">RBSE/Ke: processo TCU 012.715/2017-4 (julgamento iniciado em 18/11/2025, adiado em 04/03/2026) e 40 ações sobre a Portaria MME 120/2016 com recursos no TRF1</x:t>
  </x:si>
  <x:si>
    <x:t xml:space="preserve">A (condição anterior)</x:t>
  </x:si>
  <x:si>
    <x:t xml:space="preserve">Sim</x:t>
  </x:si>
  <x:si>
    <x:t xml:space="preserve">Condição existente – divulgação a avaliar</x:t>
  </x:si>
  <x:si>
    <x:t xml:space="preserve">NÃO mencionado no F0003</x:t>
  </x:si>
  <x:si>
    <x:t xml:space="preserve">Possível insuficiência de divulgação em 2025 (CPC 25/CPC 26 it. 125) – P50; não é ajuste</x:t>
  </x:si>
  <x:si>
    <x:t xml:space="preserve">E06</x:t>
  </x:si>
  <x:si>
    <x:t xml:space="preserve">F0100</x:t>
  </x:si>
  <x:si>
    <x:t xml:space="preserve">Renúncia do presidente do CA</x:t>
  </x:si>
  <x:si>
    <x:t xml:space="preserve">C</x:t>
  </x:si>
  <x:si>
    <x:t xml:space="preserve">Sem efeito contábil</x:t>
  </x:si>
  <x:si>
    <x:t xml:space="preserve">E07</x:t>
  </x:si>
  <x:si>
    <x:t xml:space="preserve">F0102; F0121; F0122 p.106</x:t>
  </x:si>
  <x:si>
    <x:t xml:space="preserve">Descruzamento IE Madeira/IE Garanhuns com a Axia: assinatura 19/03/2026; anuências BNDES 25/06 e BASA 13/07; fechamento 31/07/2026 com torna de R$1.167.482</x:t>
  </x:si>
  <x:si>
    <x:t xml:space="preserve">Não ajuste (combinação de negócios de 2026)</x:t>
  </x:si>
  <x:si>
    <x:t xml:space="preserve">Efeitos em 2026 (consolidação de 100% da IE Madeira a partir do 3T26)</x:t>
  </x:si>
  <x:si>
    <x:t xml:space="preserve">E08</x:t>
  </x:si>
  <x:si>
    <x:t xml:space="preserve">F0101; F0105</x:t>
  </x:si>
  <x:si>
    <x:t xml:space="preserve">Conversão de ações ON→PN (19.767.728 homologadas em 07/04/2026)</x:t>
  </x:si>
  <x:si>
    <x:t xml:space="preserve">Estrutura de capital; ver PT 550</x:t>
  </x:si>
  <x:si>
    <x:t xml:space="preserve">E09</x:t>
  </x:si>
  <x:si>
    <x:t xml:space="preserve">F0103; F0204 (escritura)</x:t>
  </x:si>
  <x:si>
    <x:t xml:space="preserve">22ª emissão: R$1.000.000, IPCA + 6,46%, vencimento 2041</x:t>
  </x:si>
  <x:si>
    <x:t xml:space="preserve">Liquidez 2026 (PT 570)</x:t>
  </x:si>
  <x:si>
    <x:t xml:space="preserve">E10</x:t>
  </x:si>
  <x:si>
    <x:t xml:space="preserve">AGO aprova as DFs de 2025 "sem reserva" e orçamento de capital de R$3.506.168.596,56</x:t>
  </x:si>
  <x:si>
    <x:t xml:space="preserve">n/a</x:t>
  </x:si>
  <x:si>
    <x:t xml:space="preserve">Sem reapresentação; orçamento usado no PT 570</x:t>
  </x:si>
  <x:si>
    <x:t xml:space="preserve">E11</x:t>
  </x:si>
  <x:si>
    <x:t xml:space="preserve">F0107; F0109 p.100; F0123</x:t>
  </x:si>
  <x:si>
    <x:t xml:space="preserve">Axia passa a 20,68% do capital (20/04/2026) e depois a 17,14% (09/10/2026; comunicado de 13/10/2026)</x:t>
  </x:si>
  <x:si>
    <x:t xml:space="preserve">Explica a diferença de participação do PT 550 §6.1 (sequência de eventos de 2026)</x:t>
  </x:si>
  <x:si>
    <x:t xml:space="preserve">E12</x:t>
  </x:si>
  <x:si>
    <x:t xml:space="preserve">F0108; F0109 p.116–117</x:t>
  </x:si>
  <x:si>
    <x:t xml:space="preserve">Mudança de auditor para a EY (rodízio); revisão do 1T26 sem modificação</x:t>
  </x:si>
  <x:si>
    <x:t xml:space="preserve">Relevante para o PT 510 (premissa didática)</x:t>
  </x:si>
  <x:si>
    <x:t xml:space="preserve">E13</x:t>
  </x:si>
  <x:si>
    <x:t xml:space="preserve">F0122 p.39</x:t>
  </x:si>
  <x:si>
    <x:t xml:space="preserve">TCU arquiva o processo do Ke, reconhecendo a legalidade da metodologia das transmissoras</x:t>
  </x:si>
  <x:si>
    <x:t xml:space="preserve">Sim (incerteza que existia)</x:t>
  </x:si>
  <x:si>
    <x:t xml:space="preserve">Desfecho favorável de condição anterior</x:t>
  </x:si>
  <x:si>
    <x:t xml:space="preserve">Condição não divulgada (E05)</x:t>
  </x:si>
  <x:si>
    <x:t xml:space="preserve">Não exige ajuste; reduz a incerteza de 2025</x:t>
  </x:si>
  <x:si>
    <x:t xml:space="preserve">E14</x:t>
  </x:si>
  <x:si>
    <x:t xml:space="preserve">F0122 p.43</x:t>
  </x:si>
  <x:si>
    <x:t xml:space="preserve">ANEEL retira PIS/COFINS da base da RAP a partir de 01/07/2026 (reforma tributária)</x:t>
  </x:si>
  <x:si>
    <x:t xml:space="preserve">Não (decisão de 2026)</x:t>
  </x:si>
  <x:si>
    <x:t xml:space="preserve">Efeitos prospectivos (PT 540/2026)</x:t>
  </x:si>
  <x:si>
    <x:t xml:space="preserve">E15</x:t>
  </x:si>
  <x:si>
    <x:t xml:space="preserve">F0110 (FR); F0122 p.39</x:t>
  </x:si>
  <x:si>
    <x:t xml:space="preserve">TRF1 (7ª Turma), 5 ações: legalidade da incorporação do RBSE, nulidade do §3º do art. 1º da Portaria MME 120/2016 (Ke) com compensação via Parcela de Ajuste e suspensão do Ke a partir do ciclo 2026/27 para os autores</x:t>
  </x:si>
  <x:si>
    <x:t xml:space="preserve">Litígio existia; decisão é nova e não definitiva</x:t>
  </x:si>
  <x:si>
    <x:t xml:space="preserve">Não ajuste em 2025 (CPC 24 it. 9(a) exige confirmação de obrigação; decisão recorrível)</x:t>
  </x:si>
  <x:si>
    <x:t xml:space="preserve">Fato conhecido após a divulgação: NÃO tratado como conhecido em 31/12/2025. A companhia não ajustou até 30/06/2026 (F0122 p.39). 560 it. 14: sem obrigação de procedimentos; não revela fato que existisse e fosse desconhecido na data do relatório que obrigasse a reapresentar – monitorar (P51)</x:t>
  </x:si>
  <x:si>
    <x:t xml:space="preserve">E16</x:t>
  </x:si>
  <x:si>
    <x:t xml:space="preserve">F0106; F0111; F0112</x:t>
  </x:si>
  <x:si>
    <x:t xml:space="preserve">Operação comercial (Jacarandá, Piraquê bloco 3) e LI Serra Dourada</x:t>
  </x:si>
  <x:si>
    <x:t xml:space="preserve">Operacional</x:t>
  </x:si>
  <x:si>
    <x:t xml:space="preserve">E17</x:t>
  </x:si>
  <x:si>
    <x:t xml:space="preserve">F0114; F0116; F0206 (escritura 23ª); F0122 p.106</x:t>
  </x:si>
  <x:si>
    <x:t xml:space="preserve">23ª (R$1.500.000, CDI+0,42%, 4 anos) e 24ª (R$1.000.000) emissões</x:t>
  </x:si>
  <x:si>
    <x:t xml:space="preserve">Acesso ao mercado em 2026 (PT 570 – fator mitigador posterior)</x:t>
  </x:si>
  <x:si>
    <x:t xml:space="preserve">E18</x:t>
  </x:si>
  <x:si>
    <x:t xml:space="preserve">F0113; F0117–F0120; F0122 p.106–107</x:t>
  </x:si>
  <x:si>
    <x:t xml:space="preserve">Oferta primária de 44.444.444 PN a R$27,00 = R$1.200.000; liquidação 28/07/2026; ISA Capital não participou</x:t>
  </x:si>
  <x:si>
    <x:t xml:space="preserve">Recursos destinados à torna da Axia e a reforços</x:t>
  </x:si>
  <x:si>
    <x:t xml:space="preserve">E19</x:t>
  </x:si>
  <x:si>
    <x:t xml:space="preserve">F0122 p.116–124</x:t>
  </x:si>
  <x:si>
    <x:t xml:space="preserve">2ITR26: revisão da EY sem modificação; ênfase Lei 4.819/58 mantida</x:t>
  </x:si>
  <x:si>
    <x:t xml:space="preserve">Nenhum indicativo de reapresentação de 2025</x:t>
  </x:si>
  <x:si>
    <x:t xml:space="preserve">E20</x:t>
  </x:si>
  <x:si>
    <x:t xml:space="preserve">F0109 p.74; F0122 p.77</x:t>
  </x:si>
  <x:si>
    <x:t xml:space="preserve">Contingências possíveis consolidadas: 898.296 → 968.779 (31/03) → 1.092.563 (30/06/2026)</x:t>
  </x:si>
  <x:si>
    <x:t xml:space="preserve">Em parte</x:t>
  </x:si>
  <x:si>
    <x:t xml:space="preserve">A analisar (novos processos × reavaliação)</x:t>
  </x:si>
  <x:si>
    <x:t xml:space="preserve">Indagar se algum processo novo se refere a fato anterior a 31/12/2025 [PA]</x:t>
  </x:si>
  <x:si>
    <x:t xml:space="preserve">[RP]/[PA]</x:t>
  </x:si>
  <x:si>
    <x:t xml:space="preserve">E21</x:t>
  </x:si>
  <x:si>
    <x:t xml:space="preserve">JCP de R$398.700 (1º semestre de 2026), pagamento em 07/12/2026</x:t>
  </x:si>
  <x:si>
    <x:t xml:space="preserve">Saída de caixa em dez/2026 (PT 570)</x:t>
  </x:si>
  <x:si>
    <x:t xml:space="preserve">E22</x:t>
  </x:si>
  <x:si>
    <x:t xml:space="preserve">Pagamento de juros em 15/10/2026 (11ª, 14ª, 17ª e 20ª emissões)</x:t>
  </x:si>
  <x:si>
    <x:t xml:space="preserve">Pagamentos em dia (indício positivo para o PT 570)</x:t>
  </x:si>
  <x:si>
    <x:t xml:space="preserve">E23</x:t>
  </x:si>
  <x:si>
    <x:t xml:space="preserve">Participação do Diretor Presidente em entrevista online (20/10/2026)</x:t>
  </x:si>
  <x:si>
    <x:t xml:space="preserve">Sem informação financeira nova</x:t>
  </x:si>
  <x:si>
    <x:t xml:space="preserve">E24</x:t>
  </x:si>
  <x:si>
    <x:t xml:space="preserve">FRE 2026 v10 (re-entrega); v9 de 15/10/2026 – NÃO lidos</x:t>
  </x:si>
  <x:si>
    <x:t xml:space="preserve">Ler na revisão final (P49)</x:t>
  </x:si>
  <x:si>
    <x:t xml:space="preserve">Resumo</x:t>
  </x:si>
  <x:si>
    <x:t xml:space="preserve">Janela A</x:t>
  </x:si>
  <x:si>
    <x:t xml:space="preserve">Janela C</x:t>
  </x:si>
  <x:si>
    <x:t xml:space="preserve">Sem leitura ([PA])</x:t>
  </x:si>
  <x:si>
    <x:t xml:space="preserve">Data e hora (Brasília)</x:t>
  </x:si>
  <x:si>
    <x:t xml:space="preserve">Consulta</x:t>
  </x:si>
  <x:si>
    <x:t xml:space="preserve">Resultado</x:t>
  </x:si>
  <x:si>
    <x:t xml:space="preserve">21/10/2026 18:10</x:t>
  </x:si>
  <x:si>
    <x:t xml:space="preserve">Busca web</x:t>
  </x:si>
  <x:si>
    <x:t xml:space="preserve">ISA Energia Brasil fato relevante outubro 2026; 3T26</x:t>
  </x:si>
  <x:si>
    <x:t xml:space="preserve">Notícias secundárias; JCP de set/2026; 3T26 em 03/11/2026</x:t>
  </x:si>
  <x:si>
    <x:t xml:space="preserve">21/10/2026 18:12</x:t>
  </x:si>
  <x:si>
    <x:t xml:space="preserve">RI – página inicial</x:t>
  </x:si>
  <x:si>
    <x:t xml:space="preserve">Últimos documentos e calendário</x:t>
  </x:si>
  <x:si>
    <x:t xml:space="preserve">Top 5 de 19/10/2026 a 30/07/2026; 3T26 em 03/11/2026 (após o mercado)</x:t>
  </x:si>
  <x:si>
    <x:t xml:space="preserve">21/10/2026 18:15</x:t>
  </x:si>
  <x:si>
    <x:t xml:space="preserve">RI – PDFs (navegador integrado)</x:t>
  </x:si>
  <x:si>
    <x:t xml:space="preserve">Documentos 6792 e 6790</x:t>
  </x:si>
  <x:si>
    <x:t xml:space="preserve">Lidos por imagem: comunicado de evento online; aviso de juros</x:t>
  </x:si>
  <x:si>
    <x:t xml:space="preserve">21/10/2026 18:17</x:t>
  </x:si>
  <x:si>
    <x:t xml:space="preserve">RI – Comunicados &amp; Fatos Relevantes</x:t>
  </x:si>
  <x:si>
    <x:t xml:space="preserve">Lista 2026 (abas Comunicado e Fato Relevante)</x:t>
  </x:si>
  <x:si>
    <x:t xml:space="preserve">Último comunicado 19/10/2026; último FR 31/07/2026</x:t>
  </x:si>
  <x:si>
    <x:t xml:space="preserve">21/10/2026 18:18</x:t>
  </x:si>
  <x:si>
    <x:t xml:space="preserve">RI – Avisos</x:t>
  </x:si>
  <x:si>
    <x:t xml:space="preserve">Avisos aos acionistas e debenturistas</x:t>
  </x:si>
  <x:si>
    <x:t xml:space="preserve">JCP 29/09/2026; juros 14/10/2026</x:t>
  </x:si>
  <x:si>
    <x:t xml:space="preserve">21/10/2026 18:21</x:t>
  </x:si>
  <x:si>
    <x:t xml:space="preserve">CVM RAD</x:t>
  </x:si>
  <x:si>
    <x:t xml:space="preserve">Empresa 018376; entregas 13/10/2026 00h – 21/10/2026 23h59</x:t>
  </x:si>
  <x:si>
    <x:t xml:space="preserve">5 registros (FRE v10 e v9, comunicados 19/10 e 13/10, aviso 14/10)</x:t>
  </x:si>
  <x:si>
    <x:t xml:space="preserve">21/10/2026 18:24</x:t>
  </x:si>
  <x:si>
    <x:t xml:space="preserve">Empresa 018376; entregas 01/01/2025 – 21/10/2026</x:t>
  </x:si>
  <x:si>
    <x:t xml:space="preserve">387 registros; 200 mais recentes transcritos em dados/cvm_rad_isa_*.txt</x:t>
  </x:si>
  <x:si>
    <x:t xml:space="preserve">21/10/2026 18:25</x:t>
  </x:si>
  <x:si>
    <x:t xml:space="preserve">CVM RAD – documentos</x:t>
  </x:si>
  <x:si>
    <x:t xml:space="preserve">Comunicado 01/12/2025; escrituras 20ª e 21ª; aviso de reapresentação; ata da AGO</x:t>
  </x:si>
  <x:si>
    <x:t xml:space="preserve">Lidos (texto do PDF)</x:t>
  </x:si>
  <x:si>
    <x:t xml:space="preserve">21/10/2026 18:29</x:t>
  </x:si>
  <x:si>
    <x:t xml:space="preserve">Encerramento</x:t>
  </x:si>
  <x:si>
    <x:t xml:space="preserve">Data de corte</x:t>
  </x:si>
  <x:si>
    <x:t xml:space="preserve">Nenhuma nova publicação após 19/10/2026 além do FRE v10 (21/10/2026 15h15)</x:t>
  </x:si>
  <x:si>
    <x:t xml:space="preserve">B3</x:t>
  </x:si>
  <x:si>
    <x:t xml:space="preserve">Consulta própria não feita nesta data (B3 replica os documentos da CVM; F0124 de 15/07/2026 já no inventário)</x:t>
  </x:si>
  <x:si>
    <x:t xml:space="preserve">Limitação registrada</x:t>
  </x:si>
  <x:si>
    <x:t xml:space="preserve">Item 560</x:t>
  </x:si>
  <x:si>
    <x:t xml:space="preserve">Procedimento</x:t>
  </x:si>
  <x:si>
    <x:t xml:space="preserve">Situação</x:t>
  </x:si>
  <x:si>
    <x:t xml:space="preserve">7(a)</x:t>
  </x:si>
  <x:si>
    <x:t xml:space="preserve">Entender os procedimentos da administração para identificar eventos subsequentes</x:t>
  </x:si>
  <x:si>
    <x:t xml:space="preserve">Não executado – sem acesso</x:t>
  </x:si>
  <x:si>
    <x:t xml:space="preserve">7(b)</x:t>
  </x:si>
  <x:si>
    <x:t xml:space="preserve">Indagar a administração e a governança sobre eventos até a data do relatório</x:t>
  </x:si>
  <x:si>
    <x:t xml:space="preserve">Não executado</x:t>
  </x:si>
  <x:si>
    <x:t xml:space="preserve">7(c)</x:t>
  </x:si>
  <x:si>
    <x:t xml:space="preserve">Ler atas posteriores a 31/12/2025 (públicas: RCA 08/01, 30/01, 24/02/2026; demais no PT 560 E03)</x:t>
  </x:si>
  <x:si>
    <x:t xml:space="preserve">[RP] parcial</x:t>
  </x:si>
  <x:si>
    <x:t xml:space="preserve">Lista obtida na CVM; leitura parcial</x:t>
  </x:si>
  <x:si>
    <x:t xml:space="preserve">7(d)</x:t>
  </x:si>
  <x:si>
    <x:t xml:space="preserve">Ler as últimas DFs intermediárias disponíveis (para 2025, não havia ITR posterior até 24/02/2026; ITRs de 2026 lidos como fatos posteriores)</x:t>
  </x:si>
  <x:si>
    <x:t xml:space="preserve">Executado (1ITR26 e 2ITR26)</x:t>
  </x:si>
  <x:si>
    <x:t xml:space="preserve">8</x:t>
  </x:si>
  <x:si>
    <x:t xml:space="preserve">Avaliar se cada evento identificado está refletido nas DFs</x:t>
  </x:si>
  <x:si>
    <x:t xml:space="preserve">Aba Eventos</x:t>
  </x:si>
  <x:si>
    <x:t xml:space="preserve">9</x:t>
  </x:si>
  <x:si>
    <x:t xml:space="preserve">Representação formal sobre eventos subsequentes (PT 580)</x:t>
  </x:si>
  <x:si>
    <x:t xml:space="preserve">Planejado</x:t>
  </x:si>
  <x:si>
    <x:t xml:space="preserve">10–17</x:t>
  </x:si>
  <x:si>
    <x:t xml:space="preserve">Fatos conhecidos após o relatório/divulgação: discutir com a administração, avaliar necessidade de alteração; reemissão</x:t>
  </x:si>
  <x:si>
    <x:t xml:space="preserve">Avaliação didática na aba Eventos (E05, E15)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</x:si>
</x:sst>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dd/mm/yyyy"/>
  </x:numFmts>
  <x:fonts count="7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mbria"/>
    </x:font>
    <x:font>
      <x:sz val="11"/>
      <x:name val="Cambria"/>
    </x:font>
    <x:font>
      <x:b/>
      <x:sz val="11"/>
      <x:color rgb="FFFFFFFF"/>
      <x:name val="Cambria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6" fillId="2" borderId="0" xfId="0" applyFont="1" applyBorder="0" applyAlignment="1" applyProtection="0">
      <x:alignment horizontal="general" vertical="top" wrapText="1" shrinkToFit="0"/>
      <x:protection locked="1" hidden="0"/>
    </x:xf>
    <x:xf numFmtId="164" fontId="0" fillId="0" borderId="0" xfId="0" applyFont="1" applyBorder="0" applyAlignment="1" applyProtection="0">
      <x:alignment horizontal="general" vertical="top" wrapText="1" shrinkToFit="0"/>
      <x:protection locked="1" hidden="0"/>
    </x:xf>
    <x:xf numFmtId="165" fontId="0" fillId="3" borderId="0" xfId="0" applyFont="0" applyBorder="0" applyAlignment="1" applyProtection="0">
      <x:alignment horizontal="general" vertical="top" wrapText="1" shrinkToFit="0"/>
      <x:protection locked="1" hidden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6" fillId="2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5" fontId="0" fillId="3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3a130098644f7" /><Relationship Type="http://schemas.openxmlformats.org/officeDocument/2006/relationships/theme" Target="/xl/theme/theme1.xml" Id="R9736d42a1dba460a" /><Relationship Type="http://schemas.openxmlformats.org/officeDocument/2006/relationships/sharedStrings" Target="/xl/sharedStrings.xml" Id="R8b2597f8aee94325" /><Relationship Type="http://schemas.openxmlformats.org/officeDocument/2006/relationships/worksheet" Target="/xl/worksheets/sheet1.xml" Id="R0604ede167034151" /><Relationship Type="http://schemas.openxmlformats.org/officeDocument/2006/relationships/worksheet" Target="/xl/worksheets/sheet2.xml" Id="R2264607b68fa41e3" /><Relationship Type="http://schemas.openxmlformats.org/officeDocument/2006/relationships/worksheet" Target="/xl/worksheets/sheet3.xml" Id="R4579771b63534443" /><Relationship Type="http://schemas.openxmlformats.org/officeDocument/2006/relationships/worksheet" Target="/xl/worksheets/sheet4.xml" Id="R2d48f79009ca4d39" /><Relationship Type="http://schemas.openxmlformats.org/officeDocument/2006/relationships/worksheet" Target="/xl/worksheets/sheet5.xml" Id="Rd62bca7182464efa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70" hidden="0" customWidth="1"/>
  </x:cols>
  <x:sheetData>
    <x:row r="1" ht="15" hidden="0" customHeight="1">
      <x:c r="A1" s="6" t="s">
        <x:v>0</x:v>
      </x:c>
    </x:row>
    <x:row r="2" ht="15" hidden="0" customHeight="1">
      <x:c r="A2" s="7" t="s">
        <x:v>1</x:v>
      </x:c>
    </x:row>
    <x:row r="3" ht="15" hidden="0" customHeight="1">
      <x:c r="A3" s="7" t="s">
        <x:v>2</x:v>
      </x:c>
    </x:row>
    <x:row r="4" ht="15" hidden="0" customHeight="1">
      <x:c r="A4" s="7" t="s">
        <x:v>3</x:v>
      </x:c>
    </x:row>
    <x:row r="5" ht="15" hidden="0" customHeight="1">
      <x:c r="A5" s="7" t="str">
        <x:v>Data de corte da pesquisa: 21/10/2026, 20:48:38 (B12; histórico em log) (Brasília) – RI, CVM (RAD, entregas até 21/10/2026) e fontes listadas. A atualizar na revisão final (P48).</x:v>
      </x:c>
    </x:row>
    <x:row r="6" ht="15" hidden="0" customHeight="1">
      <x:c r="A6" s="7" t="s">
        <x:v>4</x:v>
      </x:c>
    </x:row>
    <x:row r="7" ht="15" hidden="0" customHeight="1">
      <x:c r="A7" s="7" t="s">
        <x:v>5</x:v>
      </x:c>
    </x:row>
    <x:row r="8" ht="15" hidden="0" customHeight="1">
      <x:c r="A8" s="7" t="s">
        <x:v>6</x:v>
      </x:c>
    </x:row>
  </x:sheetData>
  <x:pageMargins left="0.7" right="0.7" top="0.75" bottom="0.75" header="0.3" footer="0.3"/>
</x:worksheet>
</file>

<file path=xl/worksheets/sheet2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44" hidden="0" customWidth="1"/>
    <ns0:col min="2" max="2" width="14" hidden="0" customWidth="1"/>
    <ns0:col min="3" max="3" width="40" hidden="0" customWidth="1"/>
    <ns0:col min="4" max="4" width="60" hidden="0" customWidth="1"/>
  </ns0:cols>
  <ns0:sheetData>
    <ns0:row r="1" ht="15" hidden="0" customHeight="1">
      <ns0:c r="A1" s="8" t="s">
        <ns0:v>7</ns0:v>
      </ns0:c>
      <ns0:c r="B1" s="8" t="s">
        <ns0:v>8</ns0:v>
      </ns0:c>
      <ns0:c r="C1" s="8" t="s">
        <ns0:v>9</ns0:v>
      </ns0:c>
      <ns0:c r="D1" s="8" t="s">
        <ns0:v>10</ns0:v>
      </ns0:c>
    </ns0:row>
    <ns0:row r="2" ht="15" hidden="0" customHeight="1">
      <ns0:c r="A2" s="9" t="s">
        <ns0:v>11</ns0:v>
      </ns0:c>
      <ns0:c r="B2" s="10" t="n">
        <ns0:v>46022</ns0:v>
      </ns0:c>
      <ns0:c r="C2" s="9" t="s">
        <ns0:v>12</ns0:v>
      </ns0:c>
      <ns0:c r="D2" s="9"/>
    </ns0:row>
    <ns0:row r="3" ht="26.399999618530273" hidden="0" customHeight="1">
      <ns0:c r="A3" s="9" t="s">
        <ns0:v>13</ns0:v>
      </ns0:c>
      <ns0:c r="B3" s="10" t="n">
        <ns0:v>46077</ns0:v>
      </ns0:c>
      <ns0:c r="C3" s="9" t="str">
        <ns0:v>F0003 p.39; ata do CA de 24/02/2026, 17h (CVM, prot. 1481499 – WEB-B10-013)</ns0:v>
      </ns0:c>
      <ns0:c r="D3" s="9"/>
    </ns0:row>
    <ns0:row r="4" ht="15" hidden="0" customHeight="1">
      <ns0:c r="A4" s="9" t="s">
        <ns0:v>14</ns0:v>
      </ns0:c>
      <ns0:c r="B4" s="10" t="n">
        <ns0:v>46077</ns0:v>
      </ns0:c>
      <ns0:c r="C4" s="9" t="s">
        <ns0:v>15</ns0:v>
      </ns0:c>
      <ns0:c r="D4" s="9" t="s">
        <ns0:v>16</ns0:v>
      </ns0:c>
    </ns0:row>
    <ns0:row r="5" ht="26.399999618530273" hidden="0" customHeight="1">
      <ns0:c r="A5" s="9" t="s">
        <ns0:v>17</ns0:v>
      </ns0:c>
      <ns0:c r="B5" s="10" t="n">
        <ns0:v>46077</ns0:v>
      </ns0:c>
      <ns0:c r="C5" s="9" t="str">
        <ns0:v>CVM RAD: DFP e DFs completas entregues em 24/02/2026, 23h02–23h08 (WEB-B10-013)</ns0:v>
      </ns0:c>
      <ns0:c r="D5" s="9" t="s">
        <ns0:v>18</ns0:v>
      </ns0:c>
    </ns0:row>
    <ns0:row r="6" ht="15" hidden="0" customHeight="1">
      <ns0:c r="A6" s="9" t="s">
        <ns0:v>19</ns0:v>
      </ns0:c>
      <ns0:c r="B6" s="10" t="n">
        <ns0:v>46084</ns0:v>
      </ns0:c>
      <ns0:c r="C6" s="9" t="str">
        <ns0:v>Ata da AGO de 25/03/2026 (WEB-B10-018)</ns0:v>
      </ns0:c>
      <ns0:c r="D6" s="9" t="s">
        <ns0:v>20</ns0:v>
      </ns0:c>
    </ns0:row>
    <ns0:row r="7" ht="15" hidden="0" customHeight="1">
      <ns0:c r="A7" s="9" t="s">
        <ns0:v>21</ns0:v>
      </ns0:c>
      <ns0:c r="B7" s="10" t="n">
        <ns0:v>46106</ns0:v>
      </ns0:c>
      <ns0:c r="C7" s="9" t="str">
        <ns0:v>Ata da AGO (WEB-B10-018)</ns0:v>
      </ns0:c>
      <ns0:c r="D7" s="9" t="s">
        <ns0:v>22</ns0:v>
      </ns0:c>
    </ns0:row>
    <ns0:row r="8" ht="26.399999618530273" hidden="0" customHeight="1">
      <ns0:c r="A8" s="9" t="s">
        <ns0:v>23</ns0:v>
      </ns0:c>
      <ns0:c r="B8" s="10" t="n">
        <ns0:v>46316</ns0:v>
      </ns0:c>
      <ns0:c r="C8" s="9" t="str">
        <ns0:v>Consultas de 21/10/2026, 18h10–18h29 (WEB-B10-007 a WEB-B10-013)</ns0:v>
      </ns0:c>
      <ns0:c r="D8" s="9" t="s">
        <ns0:v>24</ns0:v>
      </ns0:c>
    </ns0:row>
    <ns0:row r="9" ht="15" hidden="0" customHeight="1">
      <ns0:c r="A9" s="11"/>
      <ns0:c r="B9" s="11"/>
      <ns0:c r="C9" s="11"/>
      <ns0:c r="D9" s="11"/>
    </ns0:row>
    <ns0:row r="10" ht="15" hidden="0" customHeight="1">
      <ns0:c r="A10" s="9" t="s">
        <ns0:v>25</ns0:v>
      </ns0:c>
      <ns0:c r="B10" s="9">
        <ns0:f aca="0">B4-B2</ns0:f>
        <ns0:v>55</ns0:v>
      </ns0:c>
      <ns0:c r="C10" s="9" t="s">
        <ns0:v>26</ns0:v>
      </ns0:c>
      <ns0:c r="D10" s="9"/>
    </ns0:row>
    <ns0:row r="11" ht="15" hidden="0" customHeight="1">
      <ns0:c r="A11" s="9" t="s">
        <ns0:v>27</ns0:v>
      </ns0:c>
      <ns0:c r="B11" s="9">
        <ns0:f aca="0">B8-B4</ns0:f>
        <ns0:v>239</ns0:v>
      </ns0:c>
      <ns0:c r="C11" s="9" t="s">
        <ns0:v>26</ns0:v>
      </ns0:c>
      <ns0:c r="D11" s="9" t="s">
        <ns0:v>28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6" hidden="0" customWidth="1"/>
    <ns0:col min="2" max="3" width="11" hidden="0" customWidth="1"/>
    <ns0:col min="4" max="4" width="26" hidden="0" customWidth="1"/>
    <ns0:col min="5" max="5" width="60" hidden="0" customWidth="1"/>
    <ns0:col min="6" max="6" width="8" hidden="0" customWidth="1"/>
    <ns0:col min="7" max="7" width="14" hidden="0" customWidth="1"/>
    <ns0:col min="8" max="8" width="18" hidden="0" customWidth="1"/>
    <ns0:col min="9" max="9" width="30" hidden="0" customWidth="1"/>
    <ns0:col min="10" max="10" width="60" hidden="0" customWidth="1"/>
    <ns0:col min="11" max="11" width="9" hidden="0" customWidth="1"/>
  </ns0:cols>
  <ns0:sheetData>
    <ns0:row r="1" ht="39.599998474121094" hidden="0" customHeight="1">
      <ns0:c r="A1" s="8" t="s">
        <ns0:v>29</ns0:v>
      </ns0:c>
      <ns0:c r="B1" s="8" t="s">
        <ns0:v>30</ns0:v>
      </ns0:c>
      <ns0:c r="C1" s="8" t="s">
        <ns0:v>31</ns0:v>
      </ns0:c>
      <ns0:c r="D1" s="8" t="s">
        <ns0:v>32</ns0:v>
      </ns0:c>
      <ns0:c r="E1" s="8" t="s">
        <ns0:v>33</ns0:v>
      </ns0:c>
      <ns0:c r="F1" s="8" t="s">
        <ns0:v>34</ns0:v>
      </ns0:c>
      <ns0:c r="G1" s="8" t="s">
        <ns0:v>35</ns0:v>
      </ns0:c>
      <ns0:c r="H1" s="8" t="s">
        <ns0:v>36</ns0:v>
      </ns0:c>
      <ns0:c r="I1" s="8" t="s">
        <ns0:v>37</ns0:v>
      </ns0:c>
      <ns0:c r="J1" s="8" t="s">
        <ns0:v>38</ns0:v>
      </ns0:c>
      <ns0:c r="K1" s="8" t="s">
        <ns0:v>39</ns0:v>
      </ns0:c>
    </ns0:row>
    <ns0:row r="2" ht="39.599998474121094" hidden="0" customHeight="1">
      <ns0:c r="A2" s="9" t="s">
        <ns0:v>40</ns0:v>
      </ns0:c>
      <ns0:c r="B2" s="10" t="n">
        <ns0:v>46031</ns0:v>
      </ns0:c>
      <ns0:c r="C2" s="10" t="n">
        <ns0:v>46031</ns0:v>
      </ns0:c>
      <ns0:c r="D2" s="9" t="s">
        <ns0:v>41</ns0:v>
      </ns0:c>
      <ns0:c r="E2" s="9" t="s">
        <ns0:v>42</ns0:v>
      </ns0:c>
      <ns0:c r="F2" s="9" t="s">
        <ns0:v>43</ns0:v>
      </ns0:c>
      <ns0:c r="G2" s="9" t="s">
        <ns0:v>44</ns0:v>
      </ns0:c>
      <ns0:c r="H2" s="9" t="s">
        <ns0:v>45</ns0:v>
      </ns0:c>
      <ns0:c r="I2" s="9" t="s">
        <ns0:v>46</ns0:v>
      </ns0:c>
      <ns0:c r="J2" s="9" t="s">
        <ns0:v>47</ns0:v>
      </ns0:c>
      <ns0:c r="K2" s="9" t="s">
        <ns0:v>48</ns0:v>
      </ns0:c>
    </ns0:row>
    <ns0:row r="3" ht="26.399999618530273" hidden="0" customHeight="1">
      <ns0:c r="A3" s="9" t="s">
        <ns0:v>49</ns0:v>
      </ns0:c>
      <ns0:c r="B3" s="10" t="n">
        <ns0:v>46031</ns0:v>
      </ns0:c>
      <ns0:c r="C3" s="10" t="n">
        <ns0:v>46031</ns0:v>
      </ns0:c>
      <ns0:c r="D3" s="9" t="s">
        <ns0:v>50</ns0:v>
      </ns0:c>
      <ns0:c r="E3" s="9" t="s">
        <ns0:v>51</ns0:v>
      </ns0:c>
      <ns0:c r="F3" s="9" t="s">
        <ns0:v>43</ns0:v>
      </ns0:c>
      <ns0:c r="G3" s="9" t="s">
        <ns0:v>52</ns0:v>
      </ns0:c>
      <ns0:c r="H3" s="9" t="s">
        <ns0:v>45</ns0:v>
      </ns0:c>
      <ns0:c r="I3" s="9" t="s">
        <ns0:v>53</ns0:v>
      </ns0:c>
      <ns0:c r="J3" s="9" t="s">
        <ns0:v>54</ns0:v>
      </ns0:c>
      <ns0:c r="K3" s="9" t="s">
        <ns0:v>48</ns0:v>
      </ns0:c>
    </ns0:row>
    <ns0:row r="4" ht="26.399999618530273" hidden="0" customHeight="1">
      <ns0:c r="A4" s="9" t="s">
        <ns0:v>55</ns0:v>
      </ns0:c>
      <ns0:c r="B4" s="10" t="n">
        <ns0:v>46030</ns0:v>
      </ns0:c>
      <ns0:c r="C4" s="10" t="n">
        <ns0:v>46037</ns0:v>
      </ns0:c>
      <ns0:c r="D4" s="9" t="str">
        <ns0:v>CVM: ata RCA 01-2026 (WEB-B10-013)</ns0:v>
      </ns0:c>
      <ns0:c r="E4" s="9" t="str">
        <ns0:v>Reunião do CA de 30/01/2026: ata aberta no B12; 21ª emissão e rerratificação, conforme documentos registrados. Não transportada para passivo de 2025.</ns0:v>
      </ns0:c>
      <ns0:c r="F4" s="9" t="s">
        <ns0:v>43</ns0:v>
      </ns0:c>
      <ns0:c r="G4" s="9" t="s">
        <ns0:v>56</ns0:v>
      </ns0:c>
      <ns0:c r="H4" s="9" t="s">
        <ns0:v>57</ns0:v>
      </ns0:c>
      <ns0:c r="I4" s="9" t="s">
        <ns0:v>58</ns0:v>
      </ns0:c>
      <ns0:c r="J4" s="9" t="s">
        <ns0:v>59</ns0:v>
      </ns0:c>
      <ns0:c r="K4" s="9" t="s">
        <ns0:v>60</ns0:v>
      </ns0:c>
    </ns0:row>
    <ns0:row r="5" ht="39.599998474121094" hidden="0" customHeight="1">
      <ns0:c r="A5" s="9" t="s">
        <ns0:v>61</ns0:v>
      </ns0:c>
      <ns0:c r="B5" s="10" t="n">
        <ns0:v>46077</ns0:v>
      </ns0:c>
      <ns0:c r="C5" s="10" t="n">
        <ns0:v>46077</ns0:v>
      </ns0:c>
      <ns0:c r="D5" s="9" t="str">
        <ns0:v>F0003 p.24, 122; aviso aos acionistas 24/02/2026 (WEB-B10-013)</ns0:v>
      </ns0:c>
      <ns0:c r="E5" s="9" t="s">
        <ns0:v>62</ns0:v>
      </ns0:c>
      <ns0:c r="F5" s="9" t="s">
        <ns0:v>43</ns0:v>
      </ns0:c>
      <ns0:c r="G5" s="9" t="s">
        <ns0:v>63</ns0:v>
      </ns0:c>
      <ns0:c r="H5" s="9" t="s">
        <ns0:v>64</ns0:v>
      </ns0:c>
      <ns0:c r="I5" s="9" t="s">
        <ns0:v>65</ns0:v>
      </ns0:c>
      <ns0:c r="J5" s="9" t="s">
        <ns0:v>66</ns0:v>
      </ns0:c>
      <ns0:c r="K5" s="9" t="s">
        <ns0:v>48</ns0:v>
      </ns0:c>
    </ns0:row>
    <ns0:row r="6" ht="39.599998474121094" hidden="0" customHeight="1">
      <ns0:c r="A6" s="9" t="s">
        <ns0:v>67</ns0:v>
      </ns0:c>
      <ns0:c r="B6" s="10" t="n">
        <ns0:v>45979</ns0:v>
      </ns0:c>
      <ns0:c r="C6" s="10" t="n">
        <ns0:v>46146</ns0:v>
      </ns0:c>
      <ns0:c r="D6" s="9" t="s">
        <ns0:v>68</ns0:v>
      </ns0:c>
      <ns0:c r="E6" s="9" t="s">
        <ns0:v>69</ns0:v>
      </ns0:c>
      <ns0:c r="F6" s="9" t="s">
        <ns0:v>70</ns0:v>
      </ns0:c>
      <ns0:c r="G6" s="9" t="s">
        <ns0:v>71</ns0:v>
      </ns0:c>
      <ns0:c r="H6" s="9" t="s">
        <ns0:v>72</ns0:v>
      </ns0:c>
      <ns0:c r="I6" s="9" t="s">
        <ns0:v>73</ns0:v>
      </ns0:c>
      <ns0:c r="J6" s="9" t="s">
        <ns0:v>74</ns0:v>
      </ns0:c>
      <ns0:c r="K6" s="9" t="s">
        <ns0:v>48</ns0:v>
      </ns0:c>
    </ns0:row>
    <ns0:row r="7" ht="15" hidden="0" customHeight="1">
      <ns0:c r="A7" s="9" t="s">
        <ns0:v>75</ns0:v>
      </ns0:c>
      <ns0:c r="B7" s="10" t="n">
        <ns0:v>46087</ns0:v>
      </ns0:c>
      <ns0:c r="C7" s="10" t="n">
        <ns0:v>46087</ns0:v>
      </ns0:c>
      <ns0:c r="D7" s="9" t="s">
        <ns0:v>76</ns0:v>
      </ns0:c>
      <ns0:c r="E7" s="9" t="s">
        <ns0:v>77</ns0:v>
      </ns0:c>
      <ns0:c r="F7" s="9" t="s">
        <ns0:v>78</ns0:v>
      </ns0:c>
      <ns0:c r="G7" s="9" t="s">
        <ns0:v>52</ns0:v>
      </ns0:c>
      <ns0:c r="H7" s="9" t="s">
        <ns0:v>45</ns0:v>
      </ns0:c>
      <ns0:c r="I7" s="9" t="s">
        <ns0:v>58</ns0:v>
      </ns0:c>
      <ns0:c r="J7" s="9" t="s">
        <ns0:v>79</ns0:v>
      </ns0:c>
      <ns0:c r="K7" s="9" t="s">
        <ns0:v>48</ns0:v>
      </ns0:c>
    </ns0:row>
    <ns0:row r="8" ht="39.599998474121094" hidden="0" customHeight="1">
      <ns0:c r="A8" s="9" t="s">
        <ns0:v>80</ns0:v>
      </ns0:c>
      <ns0:c r="B8" s="10" t="n">
        <ns0:v>46100</ns0:v>
      </ns0:c>
      <ns0:c r="C8" s="10" t="n">
        <ns0:v>46100</ns0:v>
      </ns0:c>
      <ns0:c r="D8" s="9" t="s">
        <ns0:v>81</ns0:v>
      </ns0:c>
      <ns0:c r="E8" s="9" t="s">
        <ns0:v>82</ns0:v>
      </ns0:c>
      <ns0:c r="F8" s="9" t="s">
        <ns0:v>78</ns0:v>
      </ns0:c>
      <ns0:c r="G8" s="9" t="s">
        <ns0:v>52</ns0:v>
      </ns0:c>
      <ns0:c r="H8" s="9" t="s">
        <ns0:v>83</ns0:v>
      </ns0:c>
      <ns0:c r="I8" s="9" t="s">
        <ns0:v>58</ns0:v>
      </ns0:c>
      <ns0:c r="J8" s="9" t="s">
        <ns0:v>84</ns0:v>
      </ns0:c>
      <ns0:c r="K8" s="9" t="s">
        <ns0:v>48</ns0:v>
      </ns0:c>
    </ns0:row>
    <ns0:row r="9" ht="15" hidden="0" customHeight="1">
      <ns0:c r="A9" s="9" t="s">
        <ns0:v>85</ns0:v>
      </ns0:c>
      <ns0:c r="B9" s="10" t="n">
        <ns0:v>46100</ns0:v>
      </ns0:c>
      <ns0:c r="C9" s="10" t="n">
        <ns0:v>46100</ns0:v>
      </ns0:c>
      <ns0:c r="D9" s="9" t="s">
        <ns0:v>86</ns0:v>
      </ns0:c>
      <ns0:c r="E9" s="9" t="s">
        <ns0:v>87</ns0:v>
      </ns0:c>
      <ns0:c r="F9" s="9" t="s">
        <ns0:v>78</ns0:v>
      </ns0:c>
      <ns0:c r="G9" s="9" t="s">
        <ns0:v>52</ns0:v>
      </ns0:c>
      <ns0:c r="H9" s="9" t="s">
        <ns0:v>45</ns0:v>
      </ns0:c>
      <ns0:c r="I9" s="9" t="s">
        <ns0:v>58</ns0:v>
      </ns0:c>
      <ns0:c r="J9" s="9" t="s">
        <ns0:v>88</ns0:v>
      </ns0:c>
      <ns0:c r="K9" s="9" t="s">
        <ns0:v>48</ns0:v>
      </ns0:c>
    </ns0:row>
    <ns0:row r="10" ht="15" hidden="0" customHeight="1">
      <ns0:c r="A10" s="9" t="s">
        <ns0:v>89</ns0:v>
      </ns0:c>
      <ns0:c r="B10" s="10" t="n">
        <ns0:v>46101</ns0:v>
      </ns0:c>
      <ns0:c r="C10" s="10" t="n">
        <ns0:v>46101</ns0:v>
      </ns0:c>
      <ns0:c r="D10" s="9" t="s">
        <ns0:v>90</ns0:v>
      </ns0:c>
      <ns0:c r="E10" s="9" t="s">
        <ns0:v>91</ns0:v>
      </ns0:c>
      <ns0:c r="F10" s="9" t="s">
        <ns0:v>78</ns0:v>
      </ns0:c>
      <ns0:c r="G10" s="9" t="s">
        <ns0:v>52</ns0:v>
      </ns0:c>
      <ns0:c r="H10" s="9" t="s">
        <ns0:v>45</ns0:v>
      </ns0:c>
      <ns0:c r="I10" s="9" t="s">
        <ns0:v>58</ns0:v>
      </ns0:c>
      <ns0:c r="J10" s="9" t="s">
        <ns0:v>92</ns0:v>
      </ns0:c>
      <ns0:c r="K10" s="9" t="s">
        <ns0:v>48</ns0:v>
      </ns0:c>
    </ns0:row>
    <ns0:row r="11" ht="26.399999618530273" hidden="0" customHeight="1">
      <ns0:c r="A11" s="9" t="s">
        <ns0:v>93</ns0:v>
      </ns0:c>
      <ns0:c r="B11" s="10" t="n">
        <ns0:v>46106</ns0:v>
      </ns0:c>
      <ns0:c r="C11" s="10" t="n">
        <ns0:v>46106</ns0:v>
      </ns0:c>
      <ns0:c r="D11" s="9" t="str">
        <ns0:v>Ata AGO (WEB-B10-018)</ns0:v>
      </ns0:c>
      <ns0:c r="E11" s="9" t="s">
        <ns0:v>94</ns0:v>
      </ns0:c>
      <ns0:c r="F11" s="9" t="s">
        <ns0:v>78</ns0:v>
      </ns0:c>
      <ns0:c r="G11" s="9" t="s">
        <ns0:v>95</ns0:v>
      </ns0:c>
      <ns0:c r="H11" s="9" t="s">
        <ns0:v>95</ns0:v>
      </ns0:c>
      <ns0:c r="I11" s="9" t="s">
        <ns0:v>58</ns0:v>
      </ns0:c>
      <ns0:c r="J11" s="9" t="s">
        <ns0:v>96</ns0:v>
      </ns0:c>
      <ns0:c r="K11" s="9" t="s">
        <ns0:v>48</ns0:v>
      </ns0:c>
    </ns0:row>
    <ns0:row r="12" ht="26.399999618530273" hidden="0" customHeight="1">
      <ns0:c r="A12" s="9" t="s">
        <ns0:v>97</ns0:v>
      </ns0:c>
      <ns0:c r="B12" s="10" t="n">
        <ns0:v>46132</ns0:v>
      </ns0:c>
      <ns0:c r="C12" s="10" t="n">
        <ns0:v>46134</ns0:v>
      </ns0:c>
      <ns0:c r="D12" s="9" t="s">
        <ns0:v>98</ns0:v>
      </ns0:c>
      <ns0:c r="E12" s="9" t="s">
        <ns0:v>99</ns0:v>
      </ns0:c>
      <ns0:c r="F12" s="9" t="s">
        <ns0:v>78</ns0:v>
      </ns0:c>
      <ns0:c r="G12" s="9" t="s">
        <ns0:v>52</ns0:v>
      </ns0:c>
      <ns0:c r="H12" s="9" t="s">
        <ns0:v>45</ns0:v>
      </ns0:c>
      <ns0:c r="I12" s="9" t="s">
        <ns0:v>58</ns0:v>
      </ns0:c>
      <ns0:c r="J12" s="9" t="s">
        <ns0:v>100</ns0:v>
      </ns0:c>
      <ns0:c r="K12" s="9" t="s">
        <ns0:v>48</ns0:v>
      </ns0:c>
    </ns0:row>
    <ns0:row r="13" ht="15" hidden="0" customHeight="1">
      <ns0:c r="A13" s="9" t="s">
        <ns0:v>101</ns0:v>
      </ns0:c>
      <ns0:c r="B13" s="10" t="n">
        <ns0:v>46146</ns0:v>
      </ns0:c>
      <ns0:c r="C13" s="10" t="n">
        <ns0:v>46146</ns0:v>
      </ns0:c>
      <ns0:c r="D13" s="9" t="s">
        <ns0:v>102</ns0:v>
      </ns0:c>
      <ns0:c r="E13" s="9" t="s">
        <ns0:v>103</ns0:v>
      </ns0:c>
      <ns0:c r="F13" s="9" t="s">
        <ns0:v>78</ns0:v>
      </ns0:c>
      <ns0:c r="G13" s="9" t="s">
        <ns0:v>52</ns0:v>
      </ns0:c>
      <ns0:c r="H13" s="9" t="s">
        <ns0:v>95</ns0:v>
      </ns0:c>
      <ns0:c r="I13" s="9" t="s">
        <ns0:v>58</ns0:v>
      </ns0:c>
      <ns0:c r="J13" s="9" t="s">
        <ns0:v>104</ns0:v>
      </ns0:c>
      <ns0:c r="K13" s="9" t="s">
        <ns0:v>48</ns0:v>
      </ns0:c>
    </ns0:row>
    <ns0:row r="14" ht="26.399999618530273" hidden="0" customHeight="1">
      <ns0:c r="A14" s="9" t="s">
        <ns0:v>105</ns0:v>
      </ns0:c>
      <ns0:c r="B14" s="10" t="n">
        <ns0:v>46148</ns0:v>
      </ns0:c>
      <ns0:c r="C14" s="10" t="n">
        <ns0:v>46237</ns0:v>
      </ns0:c>
      <ns0:c r="D14" s="9" t="s">
        <ns0:v>106</ns0:v>
      </ns0:c>
      <ns0:c r="E14" s="9" t="s">
        <ns0:v>107</ns0:v>
      </ns0:c>
      <ns0:c r="F14" s="9" t="s">
        <ns0:v>78</ns0:v>
      </ns0:c>
      <ns0:c r="G14" s="9" t="s">
        <ns0:v>108</ns0:v>
      </ns0:c>
      <ns0:c r="H14" s="9" t="s">
        <ns0:v>109</ns0:v>
      </ns0:c>
      <ns0:c r="I14" s="9" t="s">
        <ns0:v>110</ns0:v>
      </ns0:c>
      <ns0:c r="J14" s="9" t="s">
        <ns0:v>111</ns0:v>
      </ns0:c>
      <ns0:c r="K14" s="9" t="s">
        <ns0:v>48</ns0:v>
      </ns0:c>
    </ns0:row>
    <ns0:row r="15" ht="26.399999618530273" hidden="0" customHeight="1">
      <ns0:c r="A15" s="9" t="s">
        <ns0:v>112</ns0:v>
      </ns0:c>
      <ns0:c r="B15" s="10" t="n">
        <ns0:v>46161</ns0:v>
      </ns0:c>
      <ns0:c r="C15" s="10" t="n">
        <ns0:v>46237</ns0:v>
      </ns0:c>
      <ns0:c r="D15" s="9" t="s">
        <ns0:v>113</ns0:v>
      </ns0:c>
      <ns0:c r="E15" s="9" t="s">
        <ns0:v>114</ns0:v>
      </ns0:c>
      <ns0:c r="F15" s="9" t="s">
        <ns0:v>78</ns0:v>
      </ns0:c>
      <ns0:c r="G15" s="9" t="s">
        <ns0:v>115</ns0:v>
      </ns0:c>
      <ns0:c r="H15" s="9" t="s">
        <ns0:v>45</ns0:v>
      </ns0:c>
      <ns0:c r="I15" s="9" t="s">
        <ns0:v>58</ns0:v>
      </ns0:c>
      <ns0:c r="J15" s="9" t="s">
        <ns0:v>116</ns0:v>
      </ns0:c>
      <ns0:c r="K15" s="9" t="s">
        <ns0:v>48</ns0:v>
      </ns0:c>
    </ns0:row>
    <ns0:row r="16" ht="66" hidden="0" customHeight="1">
      <ns0:c r="A16" s="9" t="s">
        <ns0:v>117</ns0:v>
      </ns0:c>
      <ns0:c r="B16" s="10" t="n">
        <ns0:v>46168</ns0:v>
      </ns0:c>
      <ns0:c r="C16" s="10" t="n">
        <ns0:v>46169</ns0:v>
      </ns0:c>
      <ns0:c r="D16" s="9" t="s">
        <ns0:v>118</ns0:v>
      </ns0:c>
      <ns0:c r="E16" s="9" t="s">
        <ns0:v>119</ns0:v>
      </ns0:c>
      <ns0:c r="F16" s="9" t="s">
        <ns0:v>78</ns0:v>
      </ns0:c>
      <ns0:c r="G16" s="9" t="s">
        <ns0:v>120</ns0:v>
      </ns0:c>
      <ns0:c r="H16" s="9" t="s">
        <ns0:v>121</ns0:v>
      </ns0:c>
      <ns0:c r="I16" s="9" t="s">
        <ns0:v>58</ns0:v>
      </ns0:c>
      <ns0:c r="J16" s="9" t="s">
        <ns0:v>122</ns0:v>
      </ns0:c>
      <ns0:c r="K16" s="9" t="s">
        <ns0:v>48</ns0:v>
      </ns0:c>
    </ns0:row>
    <ns0:row r="17" ht="15" hidden="0" customHeight="1">
      <ns0:c r="A17" s="9" t="s">
        <ns0:v>123</ns0:v>
      </ns0:c>
      <ns0:c r="B17" s="10" t="n">
        <ns0:v>46169</ns0:v>
      </ns0:c>
      <ns0:c r="C17" s="10" t="n">
        <ns0:v>46184</ns0:v>
      </ns0:c>
      <ns0:c r="D17" s="9" t="s">
        <ns0:v>124</ns0:v>
      </ns0:c>
      <ns0:c r="E17" s="9" t="s">
        <ns0:v>125</ns0:v>
      </ns0:c>
      <ns0:c r="F17" s="9" t="s">
        <ns0:v>78</ns0:v>
      </ns0:c>
      <ns0:c r="G17" s="9" t="s">
        <ns0:v>52</ns0:v>
      </ns0:c>
      <ns0:c r="H17" s="9" t="s">
        <ns0:v>45</ns0:v>
      </ns0:c>
      <ns0:c r="I17" s="9" t="s">
        <ns0:v>58</ns0:v>
      </ns0:c>
      <ns0:c r="J17" s="9" t="s">
        <ns0:v>126</ns0:v>
      </ns0:c>
      <ns0:c r="K17" s="9" t="s">
        <ns0:v>48</ns0:v>
      </ns0:c>
    </ns0:row>
    <ns0:row r="18" ht="26.399999618530273" hidden="0" customHeight="1">
      <ns0:c r="A18" s="9" t="s">
        <ns0:v>127</ns0:v>
      </ns0:c>
      <ns0:c r="B18" s="10" t="n">
        <ns0:v>46205</ns0:v>
      </ns0:c>
      <ns0:c r="C18" s="10" t="n">
        <ns0:v>46219</ns0:v>
      </ns0:c>
      <ns0:c r="D18" s="9" t="s">
        <ns0:v>128</ns0:v>
      </ns0:c>
      <ns0:c r="E18" s="9" t="s">
        <ns0:v>129</ns0:v>
      </ns0:c>
      <ns0:c r="F18" s="9" t="s">
        <ns0:v>78</ns0:v>
      </ns0:c>
      <ns0:c r="G18" s="9" t="s">
        <ns0:v>52</ns0:v>
      </ns0:c>
      <ns0:c r="H18" s="9" t="s">
        <ns0:v>45</ns0:v>
      </ns0:c>
      <ns0:c r="I18" s="9" t="s">
        <ns0:v>58</ns0:v>
      </ns0:c>
      <ns0:c r="J18" s="9" t="s">
        <ns0:v>130</ns0:v>
      </ns0:c>
      <ns0:c r="K18" s="9" t="s">
        <ns0:v>48</ns0:v>
      </ns0:c>
    </ns0:row>
    <ns0:row r="19" ht="26.399999618530273" hidden="0" customHeight="1">
      <ns0:c r="A19" s="9" t="s">
        <ns0:v>131</ns0:v>
      </ns0:c>
      <ns0:c r="B19" s="10" t="n">
        <ns0:v>46226</ns0:v>
      </ns0:c>
      <ns0:c r="C19" s="10" t="n">
        <ns0:v>46226</ns0:v>
      </ns0:c>
      <ns0:c r="D19" s="9" t="s">
        <ns0:v>132</ns0:v>
      </ns0:c>
      <ns0:c r="E19" s="9" t="s">
        <ns0:v>133</ns0:v>
      </ns0:c>
      <ns0:c r="F19" s="9" t="s">
        <ns0:v>78</ns0:v>
      </ns0:c>
      <ns0:c r="G19" s="9" t="s">
        <ns0:v>52</ns0:v>
      </ns0:c>
      <ns0:c r="H19" s="9" t="s">
        <ns0:v>45</ns0:v>
      </ns0:c>
      <ns0:c r="I19" s="9" t="s">
        <ns0:v>58</ns0:v>
      </ns0:c>
      <ns0:c r="J19" s="9" t="s">
        <ns0:v>134</ns0:v>
      </ns0:c>
      <ns0:c r="K19" s="9" t="s">
        <ns0:v>48</ns0:v>
      </ns0:c>
    </ns0:row>
    <ns0:row r="20" ht="15" hidden="0" customHeight="1">
      <ns0:c r="A20" s="9" t="s">
        <ns0:v>135</ns0:v>
      </ns0:c>
      <ns0:c r="B20" s="10" t="n">
        <ns0:v>46237</ns0:v>
      </ns0:c>
      <ns0:c r="C20" s="10" t="n">
        <ns0:v>46237</ns0:v>
      </ns0:c>
      <ns0:c r="D20" s="9" t="s">
        <ns0:v>136</ns0:v>
      </ns0:c>
      <ns0:c r="E20" s="9" t="s">
        <ns0:v>137</ns0:v>
      </ns0:c>
      <ns0:c r="F20" s="9" t="s">
        <ns0:v>78</ns0:v>
      </ns0:c>
      <ns0:c r="G20" s="9" t="s">
        <ns0:v>95</ns0:v>
      </ns0:c>
      <ns0:c r="H20" s="9" t="s">
        <ns0:v>95</ns0:v>
      </ns0:c>
      <ns0:c r="I20" s="9" t="s">
        <ns0:v>58</ns0:v>
      </ns0:c>
      <ns0:c r="J20" s="9" t="s">
        <ns0:v>138</ns0:v>
      </ns0:c>
      <ns0:c r="K20" s="9" t="s">
        <ns0:v>48</ns0:v>
      </ns0:c>
    </ns0:row>
    <ns0:row r="21" ht="39.599998474121094" hidden="0" customHeight="1">
      <ns0:c r="A21" s="9" t="s">
        <ns0:v>139</ns0:v>
      </ns0:c>
      <ns0:c r="B21" s="10" t="n">
        <ns0:v>46112</ns0:v>
      </ns0:c>
      <ns0:c r="C21" s="10" t="n">
        <ns0:v>46237</ns0:v>
      </ns0:c>
      <ns0:c r="D21" s="9" t="s">
        <ns0:v>140</ns0:v>
      </ns0:c>
      <ns0:c r="E21" s="9" t="s">
        <ns0:v>141</ns0:v>
      </ns0:c>
      <ns0:c r="F21" s="9" t="s">
        <ns0:v>78</ns0:v>
      </ns0:c>
      <ns0:c r="G21" s="9" t="s">
        <ns0:v>142</ns0:v>
      </ns0:c>
      <ns0:c r="H21" s="9" t="s">
        <ns0:v>143</ns0:v>
      </ns0:c>
      <ns0:c r="I21" s="9" t="s">
        <ns0:v>58</ns0:v>
      </ns0:c>
      <ns0:c r="J21" s="9" t="s">
        <ns0:v>144</ns0:v>
      </ns0:c>
      <ns0:c r="K21" s="9" t="s">
        <ns0:v>145</ns0:v>
      </ns0:c>
    </ns0:row>
    <ns0:row r="22" ht="26.399999618530273" hidden="0" customHeight="1">
      <ns0:c r="A22" s="9" t="s">
        <ns0:v>146</ns0:v>
      </ns0:c>
      <ns0:c r="B22" s="10" t="n">
        <ns0:v>46294</ns0:v>
      </ns0:c>
      <ns0:c r="C22" s="10" t="n">
        <ns0:v>46294</ns0:v>
      </ns0:c>
      <ns0:c r="D22" s="9" t="str">
        <ns0:v>Aviso aos acionistas (WEB-B10-012)</ns0:v>
      </ns0:c>
      <ns0:c r="E22" s="9" t="s">
        <ns0:v>147</ns0:v>
      </ns0:c>
      <ns0:c r="F22" s="9" t="s">
        <ns0:v>78</ns0:v>
      </ns0:c>
      <ns0:c r="G22" s="9" t="s">
        <ns0:v>52</ns0:v>
      </ns0:c>
      <ns0:c r="H22" s="9" t="s">
        <ns0:v>45</ns0:v>
      </ns0:c>
      <ns0:c r="I22" s="9" t="s">
        <ns0:v>58</ns0:v>
      </ns0:c>
      <ns0:c r="J22" s="9" t="s">
        <ns0:v>148</ns0:v>
      </ns0:c>
      <ns0:c r="K22" s="9" t="s">
        <ns0:v>48</ns0:v>
      </ns0:c>
    </ns0:row>
    <ns0:row r="23" ht="26.399999618530273" hidden="0" customHeight="1">
      <ns0:c r="A23" s="9" t="s">
        <ns0:v>149</ns0:v>
      </ns0:c>
      <ns0:c r="B23" s="10" t="n">
        <ns0:v>46309</ns0:v>
      </ns0:c>
      <ns0:c r="C23" s="10" t="n">
        <ns0:v>46309</ns0:v>
      </ns0:c>
      <ns0:c r="D23" s="9" t="str">
        <ns0:v>Aviso aos debenturistas (WEB-B10-011)</ns0:v>
      </ns0:c>
      <ns0:c r="E23" s="9" t="s">
        <ns0:v>150</ns0:v>
      </ns0:c>
      <ns0:c r="F23" s="9" t="s">
        <ns0:v>78</ns0:v>
      </ns0:c>
      <ns0:c r="G23" s="9" t="s">
        <ns0:v>52</ns0:v>
      </ns0:c>
      <ns0:c r="H23" s="9" t="s">
        <ns0:v>95</ns0:v>
      </ns0:c>
      <ns0:c r="I23" s="9" t="s">
        <ns0:v>58</ns0:v>
      </ns0:c>
      <ns0:c r="J23" s="9" t="s">
        <ns0:v>151</ns0:v>
      </ns0:c>
      <ns0:c r="K23" s="9" t="s">
        <ns0:v>48</ns0:v>
      </ns0:c>
    </ns0:row>
    <ns0:row r="24" ht="15" hidden="0" customHeight="1">
      <ns0:c r="A24" s="9" t="s">
        <ns0:v>152</ns0:v>
      </ns0:c>
      <ns0:c r="B24" s="10" t="n">
        <ns0:v>46314</ns0:v>
      </ns0:c>
      <ns0:c r="C24" s="10" t="n">
        <ns0:v>46314</ns0:v>
      </ns0:c>
      <ns0:c r="D24" s="9" t="str">
        <ns0:v>Comunicado (WEB-B10-010)</ns0:v>
      </ns0:c>
      <ns0:c r="E24" s="9" t="s">
        <ns0:v>153</ns0:v>
      </ns0:c>
      <ns0:c r="F24" s="9" t="s">
        <ns0:v>78</ns0:v>
      </ns0:c>
      <ns0:c r="G24" s="9" t="s">
        <ns0:v>52</ns0:v>
      </ns0:c>
      <ns0:c r="H24" s="9" t="s">
        <ns0:v>95</ns0:v>
      </ns0:c>
      <ns0:c r="I24" s="9" t="s">
        <ns0:v>58</ns0:v>
      </ns0:c>
      <ns0:c r="J24" s="9" t="s">
        <ns0:v>154</ns0:v>
      </ns0:c>
      <ns0:c r="K24" s="9" t="s">
        <ns0:v>48</ns0:v>
      </ns0:c>
    </ns0:row>
    <ns0:row r="25" ht="15" hidden="0" customHeight="1">
      <ns0:c r="A25" s="9" t="s">
        <ns0:v>155</ns0:v>
      </ns0:c>
      <ns0:c r="B25" s="10" t="n">
        <ns0:v>46316</ns0:v>
      </ns0:c>
      <ns0:c r="C25" s="10" t="n">
        <ns0:v>46316</ns0:v>
      </ns0:c>
      <ns0:c r="D25" s="9" t="str">
        <ns0:v>CVM RAD (WEB-B10-013)</ns0:v>
      </ns0:c>
      <ns0:c r="E25" s="9" t="s">
        <ns0:v>156</ns0:v>
      </ns0:c>
      <ns0:c r="F25" s="9" t="s">
        <ns0:v>78</ns0:v>
      </ns0:c>
      <ns0:c r="G25" s="9" t="s">
        <ns0:v>56</ns0:v>
      </ns0:c>
      <ns0:c r="H25" s="9" t="s">
        <ns0:v>57</ns0:v>
      </ns0:c>
      <ns0:c r="I25" s="9" t="s">
        <ns0:v>58</ns0:v>
      </ns0:c>
      <ns0:c r="J25" s="9" t="s">
        <ns0:v>157</ns0:v>
      </ns0:c>
      <ns0:c r="K25" s="9" t="s">
        <ns0:v>60</ns0:v>
      </ns0:c>
    </ns0:row>
    <ns0:row r="26" ht="15" hidden="0" customHeight="1">
      <ns0:c r="A26" s="11"/>
      <ns0:c r="B26" s="11"/>
      <ns0:c r="C26" s="11"/>
      <ns0:c r="D26" s="11"/>
      <ns0:c r="E26" s="11"/>
      <ns0:c r="F26" s="11"/>
      <ns0:c r="G26" s="11"/>
      <ns0:c r="H26" s="11"/>
      <ns0:c r="I26" s="11"/>
      <ns0:c r="J26" s="11"/>
      <ns0:c r="K26" s="11"/>
    </ns0:row>
    <ns0:row r="27" ht="39.599998474121094" hidden="0" customHeight="1">
      <ns0:c r="A27" s="9" t="s">
        <ns0:v>158</ns0:v>
      </ns0:c>
      <ns0:c r="B27" s="9" t="s">
        <ns0:v>159</ns0:v>
      </ns0:c>
      <ns0:c r="C27" s="9">
        <ns0:f aca="0">COUNTIF(F2:F25,"A*")</ns0:f>
        <ns0:v>5</ns0:v>
      </ns0:c>
      <ns0:c r="D27" s="9" t="s">
        <ns0:v>160</ns0:v>
      </ns0:c>
      <ns0:c r="E27" s="9">
        <ns0:f aca="0">COUNTIF(F2:F25,"C")</ns0:f>
        <ns0:v>19</ns0:v>
      </ns0:c>
      <ns0:c r="F27" s="9" t="s">
        <ns0:v>161</ns0:v>
      </ns0:c>
      <ns0:c r="G27" s="9">
        <ns0:f aca="0">COUNTIF(K2:K25,"[PA]")</ns0:f>
        <ns0:v>2</ns0:v>
      </ns0:c>
      <ns0:c r="H27" s="11"/>
      <ns0:c r="I27" s="11"/>
      <ns0:c r="J27" s="11"/>
      <ns0:c r="K27" s="11"/>
    </ns0:row>
  </ns0:sheetData>
  <ns0:pageMargins left="0.7" right="0.7" top="0.75" bottom="0.75" header="0.3" footer="0.3"/>
</ns0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8" hidden="0" customWidth="1"/>
    <x:col min="2" max="2" width="30" hidden="0" customWidth="1"/>
    <x:col min="3" max="3" width="60" hidden="0" customWidth="1"/>
    <x:col min="4" max="4" width="70" hidden="0" customWidth="1"/>
    <x:col min="5" max="5" width="10" hidden="0" customWidth="1"/>
  </x:cols>
  <x:sheetData>
    <x:row r="1" ht="26.399999618530273" hidden="0" customHeight="1">
      <x:c r="A1" s="8" t="s">
        <x:v>162</x:v>
      </x:c>
      <x:c r="B1" s="8" t="s">
        <x:v>9</x:v>
      </x:c>
      <x:c r="C1" s="8" t="s">
        <x:v>163</x:v>
      </x:c>
      <x:c r="D1" s="8" t="s">
        <x:v>164</x:v>
      </x:c>
      <x:c r="E1" s="8" t="s">
        <x:v>29</x:v>
      </x:c>
    </x:row>
    <x:row r="2" ht="15" hidden="0" customHeight="1">
      <x:c r="A2" s="9" t="s">
        <x:v>165</x:v>
      </x:c>
      <x:c r="B2" s="9" t="s">
        <x:v>166</x:v>
      </x:c>
      <x:c r="C2" s="9" t="s">
        <x:v>167</x:v>
      </x:c>
      <x:c r="D2" s="9" t="s">
        <x:v>168</x:v>
      </x:c>
      <x:c r="E2" s="9" t="s">
        <x:v>58</x:v>
      </x:c>
    </x:row>
    <x:row r="3" ht="26.399999618530273" hidden="0" customHeight="1">
      <x:c r="A3" s="9" t="s">
        <x:v>169</x:v>
      </x:c>
      <x:c r="B3" s="9" t="s">
        <x:v>170</x:v>
      </x:c>
      <x:c r="C3" s="9" t="s">
        <x:v>171</x:v>
      </x:c>
      <x:c r="D3" s="9" t="s">
        <x:v>172</x:v>
      </x:c>
      <x:c r="E3" s="9" t="str">
        <x:v>WEB-B10-007</x:v>
      </x:c>
    </x:row>
    <x:row r="4" ht="26.399999618530273" hidden="0" customHeight="1">
      <x:c r="A4" s="9" t="s">
        <x:v>173</x:v>
      </x:c>
      <x:c r="B4" s="9" t="s">
        <x:v>174</x:v>
      </x:c>
      <x:c r="C4" s="9" t="s">
        <x:v>175</x:v>
      </x:c>
      <x:c r="D4" s="9" t="s">
        <x:v>176</x:v>
      </x:c>
      <x:c r="E4" s="9" t="str">
        <x:v>WEB-B10-010/011</x:v>
      </x:c>
    </x:row>
    <x:row r="5" ht="26.399999618530273" hidden="0" customHeight="1">
      <x:c r="A5" s="9" t="s">
        <x:v>177</x:v>
      </x:c>
      <x:c r="B5" s="9" t="s">
        <x:v>178</x:v>
      </x:c>
      <x:c r="C5" s="9" t="s">
        <x:v>179</x:v>
      </x:c>
      <x:c r="D5" s="9" t="s">
        <x:v>180</x:v>
      </x:c>
      <x:c r="E5" s="9" t="str">
        <x:v>WEB-B10-008</x:v>
      </x:c>
    </x:row>
    <x:row r="6" ht="26.399999618530273" hidden="0" customHeight="1">
      <x:c r="A6" s="9" t="s">
        <x:v>181</x:v>
      </x:c>
      <x:c r="B6" s="9" t="s">
        <x:v>182</x:v>
      </x:c>
      <x:c r="C6" s="9" t="s">
        <x:v>183</x:v>
      </x:c>
      <x:c r="D6" s="9" t="s">
        <x:v>184</x:v>
      </x:c>
      <x:c r="E6" s="9" t="str">
        <x:v>WEB-B10-009/012</x:v>
      </x:c>
    </x:row>
    <x:row r="7" ht="26.399999618530273" hidden="0" customHeight="1">
      <x:c r="A7" s="9" t="s">
        <x:v>185</x:v>
      </x:c>
      <x:c r="B7" s="9" t="s">
        <x:v>186</x:v>
      </x:c>
      <x:c r="C7" s="9" t="s">
        <x:v>187</x:v>
      </x:c>
      <x:c r="D7" s="9" t="s">
        <x:v>188</x:v>
      </x:c>
      <x:c r="E7" s="9" t="str">
        <x:v>WEB-B10-013</x:v>
      </x:c>
    </x:row>
    <x:row r="8" ht="26.399999618530273" hidden="0" customHeight="1">
      <x:c r="A8" s="9" t="s">
        <x:v>189</x:v>
      </x:c>
      <x:c r="B8" s="9" t="s">
        <x:v>186</x:v>
      </x:c>
      <x:c r="C8" s="9" t="s">
        <x:v>190</x:v>
      </x:c>
      <x:c r="D8" s="9" t="s">
        <x:v>191</x:v>
      </x:c>
      <x:c r="E8" s="9" t="str">
        <x:v>WEB-B10-013</x:v>
      </x:c>
    </x:row>
    <x:row r="9" ht="26.399999618530273" hidden="0" customHeight="1">
      <x:c r="A9" s="9" t="s">
        <x:v>192</x:v>
      </x:c>
      <x:c r="B9" s="9" t="s">
        <x:v>193</x:v>
      </x:c>
      <x:c r="C9" s="9" t="s">
        <x:v>194</x:v>
      </x:c>
      <x:c r="D9" s="9" t="s">
        <x:v>195</x:v>
      </x:c>
      <x:c r="E9" s="9" t="str">
        <x:v>WEB-B10-014 a 018</x:v>
      </x:c>
    </x:row>
    <x:row r="10" ht="15" hidden="0" customHeight="1">
      <x:c r="A10" s="9" t="s">
        <x:v>196</x:v>
      </x:c>
      <x:c r="B10" s="9" t="s">
        <x:v>197</x:v>
      </x:c>
      <x:c r="C10" s="9" t="s">
        <x:v>198</x:v>
      </x:c>
      <x:c r="D10" s="9" t="s">
        <x:v>199</x:v>
      </x:c>
      <x:c r="E10" s="9" t="s">
        <x:v>58</x:v>
      </x:c>
    </x:row>
    <x:row r="11" ht="26.399999618530273" hidden="0" customHeight="1">
      <x:c r="A11" s="9" t="s">
        <x:v>58</x:v>
      </x:c>
      <x:c r="B11" s="9" t="s">
        <x:v>200</x:v>
      </x:c>
      <x:c r="C11" s="9" t="s">
        <x:v>201</x:v>
      </x:c>
      <x:c r="D11" s="9" t="s">
        <x:v>202</x:v>
      </x:c>
      <x:c r="E11" s="9" t="s">
        <x:v>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10" hidden="0" customWidth="1"/>
    <x:col min="2" max="2" width="90" hidden="0" customWidth="1"/>
    <x:col min="3" max="3" width="10" hidden="0" customWidth="1"/>
    <x:col min="4" max="4" width="40" hidden="0" customWidth="1"/>
  </x:cols>
  <x:sheetData>
    <x:row r="1" ht="28.350000381469727" hidden="0">
      <x:c r="A1" s="3" t="s">
        <x:v>203</x:v>
      </x:c>
      <x:c r="B1" s="3" t="s">
        <x:v>204</x:v>
      </x:c>
      <x:c r="C1" s="3" t="s">
        <x:v>39</x:v>
      </x:c>
      <x:c r="D1" s="3" t="s">
        <x:v>205</x:v>
      </x:c>
    </x:row>
    <x:row r="2" ht="15" hidden="0">
      <x:c r="A2" s="4" t="s">
        <x:v>206</x:v>
      </x:c>
      <x:c r="B2" s="4" t="s">
        <x:v>207</x:v>
      </x:c>
      <x:c r="C2" s="4" t="s">
        <x:v>60</x:v>
      </x:c>
      <x:c r="D2" s="4" t="s">
        <x:v>208</x:v>
      </x:c>
    </x:row>
    <x:row r="3" ht="15" hidden="0">
      <x:c r="A3" s="4" t="s">
        <x:v>209</x:v>
      </x:c>
      <x:c r="B3" s="4" t="s">
        <x:v>210</x:v>
      </x:c>
      <x:c r="C3" s="4" t="s">
        <x:v>60</x:v>
      </x:c>
      <x:c r="D3" s="4" t="s">
        <x:v>211</x:v>
      </x:c>
    </x:row>
    <x:row r="4" ht="28.350000381469727" hidden="0">
      <x:c r="A4" s="4" t="s">
        <x:v>212</x:v>
      </x:c>
      <x:c r="B4" s="4" t="s">
        <x:v>213</x:v>
      </x:c>
      <x:c r="C4" s="4" t="s">
        <x:v>214</x:v>
      </x:c>
      <x:c r="D4" s="4" t="s">
        <x:v>215</x:v>
      </x:c>
    </x:row>
    <x:row r="5" ht="28.350000381469727" hidden="0">
      <x:c r="A5" s="4" t="s">
        <x:v>216</x:v>
      </x:c>
      <x:c r="B5" s="4" t="s">
        <x:v>217</x:v>
      </x:c>
      <x:c r="C5" s="4" t="s">
        <x:v>48</x:v>
      </x:c>
      <x:c r="D5" s="4" t="s">
        <x:v>218</x:v>
      </x:c>
    </x:row>
    <x:row r="6" ht="15" hidden="0">
      <x:c r="A6" s="4" t="s">
        <x:v>219</x:v>
      </x:c>
      <x:c r="B6" s="4" t="s">
        <x:v>220</x:v>
      </x:c>
      <x:c r="C6" s="4" t="s">
        <x:v>48</x:v>
      </x:c>
      <x:c r="D6" s="4" t="s">
        <x:v>221</x:v>
      </x:c>
    </x:row>
    <x:row r="7" ht="15" hidden="0">
      <x:c r="A7" s="4" t="s">
        <x:v>222</x:v>
      </x:c>
      <x:c r="B7" s="4" t="s">
        <x:v>223</x:v>
      </x:c>
      <x:c r="C7" s="4" t="s">
        <x:v>60</x:v>
      </x:c>
      <x:c r="D7" s="4" t="s">
        <x:v>224</x:v>
      </x:c>
    </x:row>
    <x:row r="8" ht="28.350000381469727" hidden="0">
      <x:c r="A8" s="4" t="s">
        <x:v>225</x:v>
      </x:c>
      <x:c r="B8" s="4" t="s">
        <x:v>226</x:v>
      </x:c>
      <x:c r="C8" s="4" t="s">
        <x:v>60</x:v>
      </x:c>
      <x:c r="D8" s="4" t="s">
        <x:v>227</x:v>
      </x:c>
    </x:row>
  </x:sheetData>
  <x:pageMargins left="0.7" right="0.7" top="0.75" bottom="0.75" header="0.3" footer="0.3"/>
</x:worksheet>
</file>