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0ab362d1d241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766b01f9011b4560"/>
    <x:sheet xmlns:r="http://schemas.openxmlformats.org/officeDocument/2006/relationships" name="Liquidez" sheetId="2" r:id="Rd68c9de78b53436e"/>
    <x:sheet xmlns:r="http://schemas.openxmlformats.org/officeDocument/2006/relationships" name="Vencimentos" sheetId="3" r:id="R5e2b7ff0ef5a4e08"/>
    <x:sheet xmlns:r="http://schemas.openxmlformats.org/officeDocument/2006/relationships" name="Fluxos" sheetId="4" r:id="Ra0017b3ece174bbc"/>
    <x:sheet xmlns:r="http://schemas.openxmlformats.org/officeDocument/2006/relationships" name="Divida_rollforward" sheetId="5" r:id="R9e3d3f5d2bf94bec"/>
    <x:sheet xmlns:r="http://schemas.openxmlformats.org/officeDocument/2006/relationships" name="Covenants" sheetId="6" r:id="R0d9ec899a5714558"/>
    <x:sheet xmlns:r="http://schemas.openxmlformats.org/officeDocument/2006/relationships" name="Compromissos_12m" sheetId="7" r:id="R5f2567a8e8164a08"/>
    <x:sheet xmlns:r="http://schemas.openxmlformats.org/officeDocument/2006/relationships" name="Eventos_condicoes" sheetId="8" r:id="Rfd31f90b140b46ad"/>
    <x:sheet xmlns:r="http://schemas.openxmlformats.org/officeDocument/2006/relationships" name="Cenario_didatico" sheetId="9" r:id="R90a9307dd67848db"/>
  </x:sheets>
</x:workbook>
</file>

<file path=xl/sharedStrings.xml><?xml version="1.0" encoding="utf-8"?>
<x:sst xmlns:x="http://schemas.openxmlformats.org/spreadsheetml/2006/main">
  <x:si>
    <x:t xml:space="preserve">PT 570 – Continuidade operacional: liquidez, dívida, vencimentos, fluxos, compromissos, cláusulas e eventos adversos</x:t>
  </x:si>
  <x:si>
    <x:t xml:space="preserve">NBC TA 570 aplicável a 2025: texto vigente para períodos findos a partir de 31/12/2016 (F0001 p.640–660). Horizonte mínimo: 12 meses a partir da DATA DAS DEMONSTRAÇÕES (it. 13; 560 it. 5(a)) = até 31/12/2026.</x:t>
  </x:si>
  <x:si>
    <x:t xml:space="preserve">Três camadas separadas: (1) avaliação da administração (não divulgada nas DFs); (2) informação pública; (3) cenário didático. Covenant calculado aqui é INDICATIVO e NÃO CONCLUSIVO.</x:t>
  </x:si>
  <x:si>
    <x:t xml:space="preserve">Data de corte da pesquisa: 21/10/2026, 18h29 (Brasília) – RI, CVM (RAD, entregas até 21/10/2026) e fontes listadas. A atualizar na revisão final (P48).</x:t>
  </x:si>
  <x:si>
    <x:t xml:space="preserve">Células amarelas = dados transcritos (fonte e página na coluna própria) ou premissas; demais = fórmulas.</x:t>
  </x:si>
  <x:si>
    <x:t xml:space="preserve">Modalidades: [RP] realizado com evidência pública; [PA] planejado/não executável sem acesso; [SD] simulado didático.</x:t>
  </x:si>
  <x:si>
    <x:t xml:space="preserve">Preparado por: matrícula 241003689 (execução assistida por IA) em 21/10/2026. Revisão humana: ____________ (em branco).</x:t>
  </x:si>
  <x:si>
    <x:t xml:space="preserve">Indicador (consolidado)</x:t>
  </x:si>
  <x:si>
    <x:t xml:space="preserve">31/12/2025</x:t>
  </x:si>
  <x:si>
    <x:t xml:space="preserve">30/06/2026</x:t>
  </x:si>
  <x:si>
    <x:t xml:space="preserve">Fonte 2025</x:t>
  </x:si>
  <x:si>
    <x:t xml:space="preserve">Fonte 2026 (informação posterior)</x:t>
  </x:si>
  <x:si>
    <x:t xml:space="preserve">Ativo circulante</x:t>
  </x:si>
  <x:si>
    <x:t xml:space="preserve">F0003 p.23</x:t>
  </x:si>
  <x:si>
    <x:t xml:space="preserve">F0122 p.13</x:t>
  </x:si>
  <x:si>
    <x:t xml:space="preserve">Passivo circulante</x:t>
  </x:si>
  <x:si>
    <x:t xml:space="preserve">F0003 p.24</x:t>
  </x:si>
  <x:si>
    <x:t xml:space="preserve">F0122 p.14</x:t>
  </x:si>
  <x:si>
    <x:t xml:space="preserve">Caixa e equivalentes</x:t>
  </x:si>
  <x:si>
    <x:t xml:space="preserve">Aplicações financeiras</x:t>
  </x:si>
  <x:si>
    <x:t xml:space="preserve">—</x:t>
  </x:si>
  <x:si>
    <x:t xml:space="preserve">Caixa + aplicações (nota 23.3)</x:t>
  </x:si>
  <x:si>
    <x:t xml:space="preserve">F0003 p.117</x:t>
  </x:si>
  <x:si>
    <x:t xml:space="preserve">F0122 p.101</x:t>
  </x:si>
  <x:si>
    <x:t xml:space="preserve">Caixa restrito</x:t>
  </x:si>
  <x:si>
    <x:t xml:space="preserve">Dívida bruta (debêntures + empréstimos + arrendamentos)</x:t>
  </x:si>
  <x:si>
    <x:t xml:space="preserve">F0003 p.48</x:t>
  </x:si>
  <x:si>
    <x:t xml:space="preserve">Fórmula 2026: líquida + caixa + restrito</x:t>
  </x:si>
  <x:si>
    <x:t xml:space="preserve">Dívida líquida (nota 23.3, após caixa restrito)</x:t>
  </x:si>
  <x:si>
    <x:t xml:space="preserve">Patrimônio líquido consolidado</x:t>
  </x:si>
  <x:si>
    <x:t xml:space="preserve">Linha de crédito sindicalizada não utilizada</x:t>
  </x:si>
  <x:si>
    <x:t xml:space="preserve">F0003 p.51</x:t>
  </x:si>
  <x:si>
    <x:t xml:space="preserve">Liquidez corrente (AC/PC)</x:t>
  </x:si>
  <x:si>
    <x:t xml:space="preserve">Dívida líquida / PL (índice divulgado 64,5% e 70,9%)</x:t>
  </x:si>
  <x:si>
    <x:t xml:space="preserve">Dívida líquida / (dívida líquida + PL)</x:t>
  </x:si>
  <x:si>
    <x:t xml:space="preserve">Conferência: bruta − caixa e aplicações − restrito = líquida (2025)</x:t>
  </x:si>
  <x:si>
    <x:t xml:space="preserve">Dívida líquida pela nota 6 (sem caixa restrito) – 2025</x:t>
  </x:si>
  <x:si>
    <x:t xml:space="preserve">Diferença nota 6 × nota 23 = caixa restrito?</x:t>
  </x:si>
  <x:si>
    <x:t xml:space="preserve">Data-base</x:t>
  </x:si>
  <x:si>
    <x:t xml:space="preserve">Passivo financeiro</x:t>
  </x:si>
  <x:si>
    <x:t xml:space="preserve">Até 1 mês</x:t>
  </x:si>
  <x:si>
    <x:t xml:space="preserve">1–3 meses</x:t>
  </x:si>
  <x:si>
    <x:t xml:space="preserve">3 meses–1 ano</x:t>
  </x:si>
  <x:si>
    <x:t xml:space="preserve">1–5 anos</x:t>
  </x:si>
  <x:si>
    <x:t xml:space="preserve">&gt; 5 anos</x:t>
  </x:si>
  <x:si>
    <x:t xml:space="preserve">Total transcrito</x:t>
  </x:si>
  <x:si>
    <x:t xml:space="preserve">Total recalculado</x:t>
  </x:si>
  <x:si>
    <x:t xml:space="preserve">Diferença</x:t>
  </x:si>
  <x:si>
    <x:t xml:space="preserve">31/12/2025 (F0003 p.119)</x:t>
  </x:si>
  <x:si>
    <x:t xml:space="preserve">Fornecedores</x:t>
  </x:si>
  <x:si>
    <x:t xml:space="preserve">Empréstimos e financiamentos</x:t>
  </x:si>
  <x:si>
    <x:t xml:space="preserve">Debêntures</x:t>
  </x:si>
  <x:si>
    <x:t xml:space="preserve">Arrendamento</x:t>
  </x:si>
  <x:si>
    <x:t xml:space="preserve">Total</x:t>
  </x:si>
  <x:si>
    <x:t xml:space="preserve">Soma das linhas × "Total" (por coluna)</x:t>
  </x:si>
  <x:si>
    <x:t xml:space="preserve">30/06/2026 (F0122 p.103)</x:t>
  </x:si>
  <x:si>
    <x:t xml:space="preserve">Saídas contratuais em 12 meses (não descontadas)</x:t>
  </x:si>
  <x:si>
    <x:t xml:space="preserve">col. C = 31/12/2025; col. H = 30/06/2026</x:t>
  </x:si>
  <x:si>
    <x:t xml:space="preserve">Caixa + aplicações + linha não utilizada (31/12/2025)</x:t>
  </x:si>
  <x:si>
    <x:t xml:space="preserve">Cobertura das saídas de 12 meses (31/12/2025)</x:t>
  </x:si>
  <x:si>
    <x:t xml:space="preserve">Fluxo de caixa (consolidado)</x:t>
  </x:si>
  <x:si>
    <x:t xml:space="preserve">2025</x:t>
  </x:si>
  <x:si>
    <x:t xml:space="preserve">2024</x:t>
  </x:si>
  <x:si>
    <x:t xml:space="preserve">1S26 (posterior)</x:t>
  </x:si>
  <x:si>
    <x:t xml:space="preserve">Fonte</x:t>
  </x:si>
  <x:si>
    <x:t xml:space="preserve">Leitura</x:t>
  </x:si>
  <x:si>
    <x:t xml:space="preserve">Atividades operacionais</x:t>
  </x:si>
  <x:si>
    <x:t xml:space="preserve">F0003 p.29; F0122 p.19</x:t>
  </x:si>
  <x:si>
    <x:t xml:space="preserve">Negativo porque os gastos com construção (ativo de contrato, CPC 47) estão nas operacionais</x:t>
  </x:si>
  <x:si>
    <x:t xml:space="preserve">  dos quais: ativos da concessão (não caixa, receita)</x:t>
  </x:si>
  <x:si>
    <x:t xml:space="preserve">F0003 p.29</x:t>
  </x:si>
  <x:si>
    <x:t xml:space="preserve">  recebimentos – ativos da concessão</x:t>
  </x:si>
  <x:si>
    <x:t xml:space="preserve">Atividades de investimento</x:t>
  </x:si>
  <x:si>
    <x:t xml:space="preserve">F0003 p.30; F0122 p.19</x:t>
  </x:si>
  <x:si>
    <x:t xml:space="preserve">Inclui dividendos de JVs 661.221</x:t>
  </x:si>
  <x:si>
    <x:t xml:space="preserve">Atividades de financiamento</x:t>
  </x:si>
  <x:si>
    <x:t xml:space="preserve">  captações</x:t>
  </x:si>
  <x:si>
    <x:t xml:space="preserve">F0003 p.30</x:t>
  </x:si>
  <x:si>
    <x:t xml:space="preserve">  amortização de principal</x:t>
  </x:si>
  <x:si>
    <x:t xml:space="preserve">  juros pagos</x:t>
  </x:si>
  <x:si>
    <x:t xml:space="preserve">  dividendos e JCP pagos</x:t>
  </x:si>
  <x:si>
    <x:t xml:space="preserve">Variação do caixa</x:t>
  </x:si>
  <x:si>
    <x:t xml:space="preserve">F0003 p.30; F0122 p.20</x:t>
  </x:si>
  <x:si>
    <x:t xml:space="preserve">Conferência 2025: operacional + investimento + financiamento − variação</x:t>
  </x:si>
  <x:si>
    <x:t xml:space="preserve">Deve ser 0</x:t>
  </x:si>
  <x:si>
    <x:t xml:space="preserve">EBITDA ajustado 2025 (não auditado, CVM 156/22)</x:t>
  </x:si>
  <x:si>
    <x:t xml:space="preserve">F0003 p.126; F0122 p.111</x:t>
  </x:si>
  <x:si>
    <x:t xml:space="preserve">Base regulatória; 1S26 = 6 meses</x:t>
  </x:si>
  <x:si>
    <x:t xml:space="preserve">Movimento (debêntures + empréstimos, consolidado)</x:t>
  </x:si>
  <x:si>
    <x:t xml:space="preserve">Valor</x:t>
  </x:si>
  <x:si>
    <x:t xml:space="preserve">Saldo em 31/12/2024 (12.502.473 + 733.822)</x:t>
  </x:si>
  <x:si>
    <x:t xml:space="preserve">Captações</x:t>
  </x:si>
  <x:si>
    <x:t xml:space="preserve">Amortização de principal</x:t>
  </x:si>
  <x:si>
    <x:t xml:space="preserve">Juros pagos</x:t>
  </x:si>
  <x:si>
    <x:t xml:space="preserve">Juros e variações apropriados</x:t>
  </x:si>
  <x:si>
    <x:t xml:space="preserve">Saldo calculado</x:t>
  </x:si>
  <x:si>
    <x:t xml:space="preserve">Fórmula</x:t>
  </x:si>
  <x:si>
    <x:t xml:space="preserve">Saldo publicado em 31/12/2025 (15.192.514 + 759.199)</x:t>
  </x:si>
  <x:si>
    <x:t xml:space="preserve">Diferença não explicada (custos de captação, swaps, outros)</x:t>
  </x:si>
  <x:si>
    <x:t xml:space="preserve">Comparar com o CT</x:t>
  </x:si>
  <x:si>
    <x:t xml:space="preserve">Diferença / CT</x:t>
  </x:si>
  <x:si>
    <x:t xml:space="preserve">Item</x:t>
  </x:si>
  <x:si>
    <x:t xml:space="preserve">Observação</x:t>
  </x:si>
  <x:si>
    <x:t xml:space="preserve">Limite contratual: Dívida líquida / EBITDA ajustado (máximo)</x:t>
  </x:si>
  <x:si>
    <x:t xml:space="preserve">Contratos BNDES 13.2.1344.1, 17.2.0291.x, 21.2.0416.1; apuração anual em 31/12</x:t>
  </x:si>
  <x:si>
    <x:t xml:space="preserve">Limite contratual: Dívida líquida / (Dívida líquida + PL) (máximo)</x:t>
  </x:si>
  <x:si>
    <x:t xml:space="preserve">Saldo dos 3 contratos BNDES em 31/12/2025</x:t>
  </x:si>
  <x:si>
    <x:t xml:space="preserve">F0003 p.52</x:t>
  </x:si>
  <x:si>
    <x:t xml:space="preserve">Dívida líquida consolidada (nota 23.3)</x:t>
  </x:si>
  <x:si>
    <x:t xml:space="preserve">DEFINIÇÃO CONTRATUAL DIFERENTE: a companhia consolida JVs proporcionalmente (≥ 10%) para o covenant (F0003 p.52, nota (*))</x:t>
  </x:si>
  <x:si>
    <x:t xml:space="preserve">EBITDA ajustado 2025 (divulgado, não auditado)</x:t>
  </x:si>
  <x:si>
    <x:t xml:space="preserve">F0003 p.126</x:t>
  </x:si>
  <x:si>
    <x:t xml:space="preserve">Pode diferir do EBITDA ajustado contratual</x:t>
  </x:si>
  <x:si>
    <x:t xml:space="preserve">PL consolidado</x:t>
  </x:si>
  <x:si>
    <x:t xml:space="preserve">INDICATIVO – Dívida líquida / EBITDA ajustado</x:t>
  </x:si>
  <x:si>
    <x:t xml:space="preserve">NÃO CONCLUSIVO (definições e dados contratuais não públicos)</x:t>
  </x:si>
  <x:si>
    <x:t xml:space="preserve">INDICATIVO – acima do limite?</x:t>
  </x:si>
  <x:si>
    <x:t xml:space="preserve">A companhia declara que ficou acima (F0003 p.54)</x:t>
  </x:si>
  <x:si>
    <x:t xml:space="preserve">INDICATIVO – DL / (DL + PL)</x:t>
  </x:si>
  <x:si>
    <x:t xml:space="preserve">Anuência do BNDES (abstenção de vencimento antecipado – exercício 2025)</x:t>
  </x:si>
  <x:si>
    <x:t xml:space="preserve">Nov/2025</x:t>
  </x:si>
  <x:si>
    <x:t xml:space="preserve">Obtida ANTES de 31/12/2025 → classificação não circulante adequada (CPC 26 it. 74–75); custo de R$1,1 milhão</x:t>
  </x:si>
  <x:si>
    <x:t xml:space="preserve">Próxima apuração</x:t>
  </x:si>
  <x:si>
    <x:t xml:space="preserve">31/12/2026</x:t>
  </x:si>
  <x:si>
    <x:t xml:space="preserve">F0122 p.53</x:t>
  </x:si>
  <x:si>
    <x:t xml:space="preserve">Dentro do horizonte de 12 meses</x:t>
  </x:si>
  <x:si>
    <x:t xml:space="preserve">Debêntures da companhia: índices financeiros</x:t>
  </x:si>
  <x:si>
    <x:t xml:space="preserve">Não há</x:t>
  </x:si>
  <x:si>
    <x:t xml:space="preserve">F0003 p.49–50 (coluna "Indicadores Financeiros"); F0003 p.51</x:t>
  </x:si>
  <x:si>
    <x:t xml:space="preserve">Só covenants não financeiros</x:t>
  </x:si>
  <x:si>
    <x:t xml:space="preserve">Vencimento antecipado AUTOMÁTICO por declaração de vencimento antecipado de outra dívida &gt; limite</x:t>
  </x:si>
  <x:si>
    <x:t xml:space="preserve">F0200 p.41 (20ª); F0202 p.33 (21ª); F0230 p.47 (18ª); F0232 p.34 (19ª)</x:t>
  </x:si>
  <x:si>
    <x:t xml:space="preserve">Limite R$230 milhões (IPCA); 13ª: R$212 mi (F0219 p.26); 14ª: R$215 mi (F0220 p.41); 22ª/23ª: R$240 mi (F0204 p.39; F0206 p.28)</x:t>
  </x:si>
  <x:si>
    <x:t xml:space="preserve">BNDES 3 contratos / limite de cross-acceleration</x:t>
  </x:si>
  <x:si>
    <x:t xml:space="preserve">&gt; 1: se o BNDES declarasse o vencimento antecipado, as debêntures lidas venceriam automaticamente</x:t>
  </x:si>
  <x:si>
    <x:t xml:space="preserve">Debêntures da companhia em 31/12/2025 (saldo exposto ao vencimento antecipado cruzado)</x:t>
  </x:si>
  <x:si>
    <x:t xml:space="preserve">F0003 p.50</x:t>
  </x:si>
  <x:si>
    <x:t xml:space="preserve">Escrituras de 8ª–12ª e 15ª–17ª não lidas (PDF imagem) – P57</x:t>
  </x:si>
  <x:si>
    <x:t xml:space="preserve">Cenário 30/06/2026 (DIDÁTICO): EBITDA 1S26 anualizado × 2</x:t>
  </x:si>
  <x:si>
    <x:t xml:space="preserve">F0122 p.111</x:t>
  </x:si>
  <x:si>
    <x:t xml:space="preserve">Anualização simplista – não é o cálculo contratual</x:t>
  </x:si>
  <x:si>
    <x:t xml:space="preserve">Cenário 30/06/2026 (DIDÁTICO): DL / EBITDA anualizado</x:t>
  </x:si>
  <x:si>
    <x:t xml:space="preserve">Sugere que a apuração de 31/12/2026 também pode exigir nova anuência (risco a acompanhar)</x:t>
  </x:si>
  <x:si>
    <x:t xml:space="preserve">Uso / fonte de recursos (horizonte até 31/12/2026)</x:t>
  </x:si>
  <x:si>
    <x:t xml:space="preserve">Conhecido em 24/02/2026?</x:t>
  </x:si>
  <x:si>
    <x:t xml:space="preserve">Camada</x:t>
  </x:si>
  <x:si>
    <x:t xml:space="preserve">USO – saídas contratuais de passivos financeiros em 12 meses</x:t>
  </x:si>
  <x:si>
    <x:t xml:space="preserve">Sim</x:t>
  </x:si>
  <x:si>
    <x:t xml:space="preserve">F0003 p.119</x:t>
  </x:si>
  <x:si>
    <x:t xml:space="preserve">Pública</x:t>
  </x:si>
  <x:si>
    <x:t xml:space="preserve">USO – JCP/dividendos a pagar no balanço</x:t>
  </x:si>
  <x:si>
    <x:t xml:space="preserve">USO – dividendos adicionais aprovados em 24/02/2026</x:t>
  </x:si>
  <x:si>
    <x:t xml:space="preserve">F0003 p.122</x:t>
  </x:si>
  <x:si>
    <x:t xml:space="preserve">USO – orçamento de capital 2026 (AGO 25/03/2026)</x:t>
  </x:si>
  <x:si>
    <x:t xml:space="preserve">Não (aprovado em 25/03/2026)</x:t>
  </x:si>
  <x:si>
    <x:t xml:space="preserve">Pública posterior</x:t>
  </x:si>
  <x:si>
    <x:t xml:space="preserve">FONTE – caixa e aplicações em 31/12/2025</x:t>
  </x:si>
  <x:si>
    <x:t xml:space="preserve">FONTE – linha sindicalizada não utilizada</x:t>
  </x:si>
  <x:si>
    <x:t xml:space="preserve">FONTE – 21ª emissão (fev/2026; uso principal: refinanciamento)</x:t>
  </x:si>
  <x:si>
    <x:t xml:space="preserve">Sim (nota 26)</x:t>
  </x:si>
  <x:si>
    <x:t xml:space="preserve">FONTE – 22ª emissão (mar/2026)</x:t>
  </x:si>
  <x:si>
    <x:t xml:space="preserve">Não</x:t>
  </x:si>
  <x:si>
    <x:t xml:space="preserve">F0103; F0125</x:t>
  </x:si>
  <x:si>
    <x:t xml:space="preserve">FONTE – 23ª e 24ª emissões (jul/2026)</x:t>
  </x:si>
  <x:si>
    <x:t xml:space="preserve">F0122 p.106</x:t>
  </x:si>
  <x:si>
    <x:t xml:space="preserve">FONTE – oferta de ações (jul/2026)</x:t>
  </x:si>
  <x:si>
    <x:t xml:space="preserve">F0119; F0122 p.107</x:t>
  </x:si>
  <x:si>
    <x:t xml:space="preserve">USO – torna à Axia (jul/2026)</x:t>
  </x:si>
  <x:si>
    <x:t xml:space="preserve">F0121; F0122 p.106</x:t>
  </x:si>
  <x:si>
    <x:t xml:space="preserve">USO – JCP 1S26 (pagamento 07/12/2026)</x:t>
  </x:si>
  <x:si>
    <x:t xml:space="preserve">Fontes conhecidas em 24/02/2026 (caixa + linha) − usos conhecidos (vencimentos 12m + proventos)</x:t>
  </x:si>
  <x:si>
    <x:t xml:space="preserve">Exclui a 21ª (refinanciamento) e o capex</x:t>
  </x:si>
  <x:si>
    <x:t xml:space="preserve">Necessidade adicional se o capex de 2026 for financiado só com caixa</x:t>
  </x:si>
  <x:si>
    <x:t xml:space="preserve">Negativo = depende de novas captações/geração</x:t>
  </x:si>
  <x:si>
    <x:t xml:space="preserve">Didático</x:t>
  </x:si>
  <x:si>
    <x:t xml:space="preserve">Indicador (NBC TA 570 A3)</x:t>
  </x:si>
  <x:si>
    <x:t xml:space="preserve">Presente?</x:t>
  </x:si>
  <x:si>
    <x:t xml:space="preserve">Evidência</x:t>
  </x:si>
  <x:si>
    <x:t xml:space="preserve">Fator mitigador</x:t>
  </x:si>
  <x:si>
    <x:t xml:space="preserve">Peso</x:t>
  </x:si>
  <x:si>
    <x:t xml:space="preserve">Passivo circulante líquido / capital de giro negativo</x:t>
  </x:si>
  <x:si>
    <x:t xml:space="preserve">AC 7.087.439 &gt; PC 1.886.771 (F0003 p.23–24)</x:t>
  </x:si>
  <x:si>
    <x:t xml:space="preserve">Baixo</x:t>
  </x:si>
  <x:si>
    <x:t xml:space="preserve">Dívida de prazo fixo vencendo sem perspectiva de renovação</x:t>
  </x:si>
  <x:si>
    <x:t xml:space="preserve">Saídas de 12 meses 2.016.166 (F0003 p.119); perfil longo (prazo médio 8,7 anos – F0125)</x:t>
  </x:si>
  <x:si>
    <x:t xml:space="preserve">Acesso recorrente ao mercado (emissões de 2025 e 21ª em fev/2026)</x:t>
  </x:si>
  <x:si>
    <x:t xml:space="preserve">Fluxo de caixa operacional negativo</x:t>
  </x:si>
  <x:si>
    <x:t xml:space="preserve">−1.215.500 em 2025 (F0003 p.29)</x:t>
  </x:si>
  <x:si>
    <x:t xml:space="preserve">Estrutural: investimentos em infraestrutura classificados como operacionais (CPC 47); recebimentos 5.304.081</x:t>
  </x:si>
  <x:si>
    <x:t xml:space="preserve">Médio</x:t>
  </x:si>
  <x:si>
    <x:t xml:space="preserve">Índices financeiros adversos / descumprimento de covenant</x:t>
  </x:si>
  <x:si>
    <x:t xml:space="preserve">DL/EBITDA ajustado acima do limite do BNDES em 2025 (F0003 p.54)</x:t>
  </x:si>
  <x:si>
    <x:t xml:space="preserve">Anuência obtida em nov/2025, antes do balanço; contratos BNDES = 4,3% da dívida bruta</x:t>
  </x:si>
  <x:si>
    <x:t xml:space="preserve">Alto (condição a monitorar)</x:t>
  </x:si>
  <x:si>
    <x:t xml:space="preserve">Atraso ou suspensão de dividendos</x:t>
  </x:si>
  <x:si>
    <x:t xml:space="preserve">Proventos de 2025 pagos e aprovados (F0003 p.17, 122)</x:t>
  </x:si>
  <x:si>
    <x:t xml:space="preserve">Incapacidade de pagar credores / obter financiamento</x:t>
  </x:si>
  <x:si>
    <x:t xml:space="preserve">Mercado de capitais aberto</x:t>
  </x:si>
  <x:si>
    <x:t xml:space="preserve">Litígios relevantes com potencial de perdas</x:t>
  </x:si>
  <x:si>
    <x:t xml:space="preserve">Possíveis 898.296; remotos de R$1,8 bi e R$3,1 bi; Lei 4.819 (ativo de 2.760.806); RBSE/Ke (TCU/TRF1)</x:t>
  </x:si>
  <x:si>
    <x:t xml:space="preserve">Classificações da administração; decisões favoráveis; TCU arquivou em mai/2026 (posterior)</x:t>
  </x:si>
  <x:si>
    <x:t xml:space="preserve">Mudanças regulatórias adversas</x:t>
  </x:si>
  <x:si>
    <x:t xml:space="preserve">Em parte</x:t>
  </x:si>
  <x:si>
    <x:t xml:space="preserve">Reforma tributária (PIS/COFINS na RAP, 2026); RBSE</x:t>
  </x:si>
  <x:si>
    <x:t xml:space="preserve">Receita regulada; neutralidade prevista</x:t>
  </x:si>
  <x:si>
    <x:t xml:space="preserve">Perda de concessão / licença relevante</x:t>
  </x:si>
  <x:si>
    <x:t xml:space="preserve">Concessão Paulista prorrogada até 2042 (F0003 p.44)</x:t>
  </x:si>
  <x:si>
    <x:t xml:space="preserve">Indicadores presentes</x:t>
  </x:si>
  <x:si>
    <x:t xml:space="preserve">Cenário HIPOTÉTICO (não ocorreu)</x:t>
  </x:si>
  <x:si>
    <x:t xml:space="preserve">Fórmula / fonte</x:t>
  </x:si>
  <x:si>
    <x:t xml:space="preserve">Se o BNDES tivesse declarado vencimento antecipado em 31/12/2025 (sem anuência)</x:t>
  </x:si>
  <x:si>
    <x:t xml:space="preserve">Hipótese didática</x:t>
  </x:si>
  <x:si>
    <x:t xml:space="preserve">A anuência existe (F0003 p.54): o cenário só mostra a importância dela</x:t>
  </x:si>
  <x:si>
    <x:t xml:space="preserve">Dívida BNDES exigível</x:t>
  </x:si>
  <x:si>
    <x:t xml:space="preserve">Debêntures com vencimento antecipado automático (cross-acceleration)</x:t>
  </x:si>
  <x:si>
    <x:t xml:space="preserve">F0003 p.50; escrituras lidas</x:t>
  </x:si>
  <x:si>
    <x:t xml:space="preserve">Total potencialmente exigível</x:t>
  </x:si>
  <x:si>
    <x:t xml:space="preserve">Recursos imediatos (caixa + aplicações + linha não utilizada)</x:t>
  </x:si>
  <x:si>
    <x:t xml:space="preserve">Insuficiência no cenário</x:t>
  </x:si>
  <x:si>
    <x:t xml:space="preserve">Ordem de grandeza que tornaria a dúvida significativa – por isso a evidência da anuência é decisiva (505/570)</x:t>
  </x:si>
  <x:si>
    <x:t xml:space="preserve">Probabilidade do cenário com a evidência pública</x:t>
  </x:si>
  <x:si>
    <x:t xml:space="preserve">Baixa</x:t>
  </x:si>
  <x:si>
    <x:t xml:space="preserve">Julgamento</x:t>
  </x:si>
</x:sst>
</file>

<file path=xl/styles.xml><?xml version="1.0" encoding="utf-8"?>
<x:styleSheet xmlns:x="http://schemas.openxmlformats.org/spreadsheetml/2006/main">
  <x:numFmts count="6">
    <x:numFmt numFmtId="164" formatCode="General"/>
    <x:numFmt numFmtId="165" formatCode="#,##0;[RED]\-#,##0"/>
    <x:numFmt numFmtId="166" formatCode="0.00"/>
    <x:numFmt numFmtId="167" formatCode="0.00\x"/>
    <x:numFmt numFmtId="168" formatCode="0.0\x"/>
    <x:numFmt numFmtId="169" formatCode="0.000"/>
  </x:numFmts>
  <x:fonts count="7">
    <x:font>
      <x:sz val="11"/>
      <x:color theme="1"/>
      <x:name val="Calibri"/>
      <x:family val="2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1"/>
      <x:name val="Cambria"/>
    </x:font>
    <x:font>
      <x:sz val="11"/>
      <x:name val="Cambria"/>
    </x:font>
    <x:font>
      <x:b/>
      <x:sz val="11"/>
      <x:color rgb="FFFFFFFF"/>
      <x:name val="Cambria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FFF2CC"/>
      </x:patternFill>
    </x:fill>
  </x:fills>
  <x:borders count="1">
    <x:border diagonalUp="0" diagonalDown="0">
      <x:left/>
      <x:right/>
      <x:top/>
      <x:bottom/>
      <x:diagonal/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22">
    <x:xf numFmtId="164" fontId="0" fillId="0" borderId="0" xfId="0" applyFont="0" applyBorder="0" applyAlignment="0" applyProtection="0">
      <x:alignment horizontal="general" vertical="bottom" wrapText="0" shrinkToFit="0"/>
      <x:protection locked="1" hidden="0"/>
    </x:xf>
    <x:xf numFmtId="164" fontId="4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5" fillId="0" borderId="0" xfId="0" applyFont="1" applyBorder="0" applyAlignment="1" applyProtection="0">
      <x:alignment horizontal="general" vertical="bottom" wrapText="1" shrinkToFit="0"/>
      <x:protection locked="1" hidden="0"/>
    </x:xf>
    <x:xf numFmtId="164" fontId="6" fillId="2" borderId="0" xfId="0" applyFont="1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1" applyProtection="0">
      <x:alignment horizontal="general" vertical="top" wrapText="1" shrinkToFit="0"/>
      <x:protection locked="1" hidden="0"/>
    </x:xf>
    <x:xf numFmtId="165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5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6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4" fontId="0" fillId="0" borderId="0" xfId="0" applyFont="1" applyBorder="0" applyAlignment="0" applyProtection="0">
      <x:alignment horizontal="general" vertical="bottom" wrapText="0" shrinkToFit="0"/>
      <x:protection locked="1" hidden="0"/>
    </x:xf>
    <x:xf numFmtId="167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8" fontId="0" fillId="3" borderId="0" xfId="0" applyFont="0" applyBorder="0" applyAlignment="1" applyProtection="0">
      <x:alignment horizontal="general" vertical="top" wrapText="1" shrinkToFit="0"/>
      <x:protection locked="1" hidden="0"/>
    </x:xf>
    <x:xf numFmtId="169" fontId="0" fillId="0" borderId="0" xfId="0" applyFont="0" applyBorder="0" applyAlignment="1" applyProtection="0">
      <x:alignment horizontal="general" vertical="top" wrapText="1" shrinkToFit="0"/>
      <x:protection locked="1" hidden="0"/>
    </x:xf>
    <x:xf numFmtId="164" fontId="4" fillId="0" borderId="0" xfId="0" applyNumberFormat="1" applyFont="1" applyFill="1" applyBorder="1" applyAlignment="1">
      <x:alignment horizontal="general" vertical="bottom" wrapText="1"/>
    </x:xf>
    <x:xf numFmtId="164" fontId="5" fillId="0" borderId="0" xfId="0" applyNumberFormat="1" applyFont="1" applyFill="1" applyBorder="1" applyAlignment="1">
      <x:alignment horizontal="general" vertical="bottom" wrapText="1"/>
    </x:xf>
    <x:xf numFmtId="164" fontId="6" fillId="2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8" fontId="0" fillId="3" borderId="0" xfId="0" applyNumberFormat="1" applyFont="1" applyFill="1" applyBorder="1" applyAlignment="1">
      <x:alignment horizontal="general" vertical="top" wrapText="1"/>
    </x:xf>
    <x:xf numFmtId="165" fontId="0" fillId="3" borderId="0" xfId="0" applyNumberFormat="1" applyFont="1" applyFill="1" applyBorder="1" applyAlignment="1">
      <x:alignment horizontal="general" vertical="top" wrapText="1"/>
    </x:xf>
    <x:xf numFmtId="165" fontId="0" fillId="0" borderId="0" xfId="0" applyNumberFormat="1" applyFont="1" applyFill="1" applyBorder="1" applyAlignment="1">
      <x:alignment horizontal="general" vertical="top" wrapText="1"/>
    </x:xf>
    <x:xf numFmtId="167" fontId="0" fillId="0" borderId="0" xfId="0" applyNumberFormat="1" applyFont="1" applyFill="1" applyBorder="1" applyAlignment="1">
      <x:alignment horizontal="general" vertical="top" wrapText="1"/>
    </x:xf>
    <x:xf numFmtId="169" fontId="0" fillId="0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C0C0C0"/>
      <x:rgbColor rgb="FF808080"/>
      <x:rgbColor rgb="FF9999FF"/>
      <x:rgbColor rgb="FF993366"/>
      <x:rgbColor rgb="FFFFF2CC"/>
      <x:rgbColor rgb="FFCCFFFF"/>
      <x:rgbColor rgb="FF660066"/>
      <x:rgbColor rgb="FFFF8080"/>
      <x:rgbColor rgb="FF0066CC"/>
      <x:rgbColor rgb="FFCCCCFF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1F3864"/>
      <x:rgbColor rgb="FF339966"/>
      <x:rgbColor rgb="FF003300"/>
      <x:rgbColor rgb="FF333300"/>
      <x:rgbColor rgb="FF993300"/>
      <x:rgbColor rgb="FF993366"/>
      <x:rgbColor rgb="FF33339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916d66414c4876" /><Relationship Type="http://schemas.openxmlformats.org/officeDocument/2006/relationships/theme" Target="/xl/theme/theme1.xml" Id="Rec28459d67074e9d" /><Relationship Type="http://schemas.openxmlformats.org/officeDocument/2006/relationships/sharedStrings" Target="/xl/sharedStrings.xml" Id="R59fa995eb3b84620" /><Relationship Type="http://schemas.openxmlformats.org/officeDocument/2006/relationships/worksheet" Target="/xl/worksheets/sheet1.xml" Id="R766b01f9011b4560" /><Relationship Type="http://schemas.openxmlformats.org/officeDocument/2006/relationships/worksheet" Target="/xl/worksheets/sheet2.xml" Id="Rd68c9de78b53436e" /><Relationship Type="http://schemas.openxmlformats.org/officeDocument/2006/relationships/worksheet" Target="/xl/worksheets/sheet3.xml" Id="R5e2b7ff0ef5a4e08" /><Relationship Type="http://schemas.openxmlformats.org/officeDocument/2006/relationships/worksheet" Target="/xl/worksheets/sheet4.xml" Id="Ra0017b3ece174bbc" /><Relationship Type="http://schemas.openxmlformats.org/officeDocument/2006/relationships/worksheet" Target="/xl/worksheets/sheet5.xml" Id="R9e3d3f5d2bf94bec" /><Relationship Type="http://schemas.openxmlformats.org/officeDocument/2006/relationships/worksheet" Target="/xl/worksheets/sheet6.xml" Id="R0d9ec899a5714558" /><Relationship Type="http://schemas.openxmlformats.org/officeDocument/2006/relationships/worksheet" Target="/xl/worksheets/sheet7.xml" Id="R5f2567a8e8164a08" /><Relationship Type="http://schemas.openxmlformats.org/officeDocument/2006/relationships/worksheet" Target="/xl/worksheets/sheet8.xml" Id="Rfd31f90b140b46ad" /><Relationship Type="http://schemas.openxmlformats.org/officeDocument/2006/relationships/worksheet" Target="/xl/worksheets/sheet9.xml" Id="R90a9307dd67848db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6796875" defaultRowHeight="15"/>
  <x:cols>
    <x:col min="1" max="1" width="170" hidden="0" customWidth="1"/>
  </x:cols>
  <x:sheetData>
    <x:row r="1" ht="15" hidden="0" customHeight="1">
      <x:c r="A1" s="12" t="s">
        <x:v>0</x:v>
      </x:c>
    </x:row>
    <x:row r="2" ht="26.399999618530273" hidden="0" customHeight="1">
      <x:c r="A2" s="13" t="s">
        <x:v>1</x:v>
      </x:c>
    </x:row>
    <x:row r="3" ht="15" hidden="0" customHeight="1">
      <x:c r="A3" s="13" t="str">
        <x:v>A NBC TA 570 (R1) (DOU de 25/09/2026; fonte secundária WEB-B10-019) só vale para períodos iniciados a partir de 01/01/2027 e conta 12 meses da data de APROVAÇÃO – NÃO aplicada aqui.</x:v>
      </x:c>
    </x:row>
    <x:row r="4" ht="15" hidden="0" customHeight="1">
      <x:c r="A4" s="13" t="s">
        <x:v>2</x:v>
      </x:c>
    </x:row>
    <x:row r="5" ht="15" hidden="0" customHeight="1">
      <x:c r="A5" s="13" t="inlineStr">
        <x:is>
          <x:t xml:space="preserve">Corte da pesquisa de eventos mantido em 21/10/2026, 20:48:38 Brasília (B12). Consulta normativa em 23/10/2026 não amplia esse corte.</x:t>
        </x:is>
      </x:c>
    </x:row>
    <x:row r="6" ht="15" hidden="0" customHeight="1">
      <x:c r="A6" s="13" t="s">
        <x:v>4</x:v>
      </x:c>
    </x:row>
    <x:row r="7" ht="15" hidden="0" customHeight="1">
      <x:c r="A7" s="13" t="s">
        <x:v>5</x:v>
      </x:c>
    </x:row>
    <x:row r="8" ht="15" hidden="0" customHeight="1">
      <x:c r="A8" s="13" t="s">
        <x:v>6</x:v>
      </x:c>
    </x:row>
  </x:sheetData>
  <x:pageMargins left="0.7" right="0.7" top="0.75" bottom="0.75" header="0.3" footer="0.3"/>
</x:worksheet>
</file>

<file path=xl/worksheets/sheet2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46" hidden="0" customWidth="1"/>
    <ns0:col min="2" max="3" width="16" hidden="0" customWidth="1"/>
    <ns0:col min="4" max="4" width="24" hidden="0" customWidth="1"/>
    <ns0:col min="5" max="5" width="30" hidden="0" customWidth="1"/>
  </ns0:cols>
  <ns0:sheetData>
    <ns0:row r="1" ht="28.350000381469727" hidden="0">
      <ns0:c r="A1" s="3" t="s">
        <ns0:v>7</ns0:v>
      </ns0:c>
      <ns0:c r="B1" s="3" t="s">
        <ns0:v>8</ns0:v>
      </ns0:c>
      <ns0:c r="C1" s="3" t="s">
        <ns0:v>9</ns0:v>
      </ns0:c>
      <ns0:c r="D1" s="3" t="s">
        <ns0:v>10</ns0:v>
      </ns0:c>
      <ns0:c r="E1" s="3" t="s">
        <ns0:v>11</ns0:v>
      </ns0:c>
    </ns0:row>
    <ns0:row r="2" ht="15" hidden="0">
      <ns0:c r="A2" s="4" t="s">
        <ns0:v>12</ns0:v>
      </ns0:c>
      <ns0:c r="B2" s="5" t="n">
        <ns0:v>7087439</ns0:v>
      </ns0:c>
      <ns0:c r="C2" s="5" t="n">
        <ns0:v>7165174</ns0:v>
      </ns0:c>
      <ns0:c r="D2" s="4" t="s">
        <ns0:v>13</ns0:v>
      </ns0:c>
      <ns0:c r="E2" s="4" t="s">
        <ns0:v>14</ns0:v>
      </ns0:c>
    </ns0:row>
    <ns0:row r="3" ht="15" hidden="0">
      <ns0:c r="A3" s="4" t="s">
        <ns0:v>15</ns0:v>
      </ns0:c>
      <ns0:c r="B3" s="5" t="n">
        <ns0:v>1886771</ns0:v>
      </ns0:c>
      <ns0:c r="C3" s="5" t="n">
        <ns0:v>1357429</ns0:v>
      </ns0:c>
      <ns0:c r="D3" s="4" t="s">
        <ns0:v>16</ns0:v>
      </ns0:c>
      <ns0:c r="E3" s="4" t="s">
        <ns0:v>17</ns0:v>
      </ns0:c>
    </ns0:row>
    <ns0:row r="4" ht="15" hidden="0">
      <ns0:c r="A4" s="4" t="s">
        <ns0:v>18</ns0:v>
      </ns0:c>
      <ns0:c r="B4" s="5" t="n">
        <ns0:v>1356062</ns0:v>
      </ns0:c>
      <ns0:c r="C4" s="5" t="n">
        <ns0:v>468699</ns0:v>
      </ns0:c>
      <ns0:c r="D4" s="4" t="s">
        <ns0:v>13</ns0:v>
      </ns0:c>
      <ns0:c r="E4" s="4" t="s">
        <ns0:v>14</ns0:v>
      </ns0:c>
    </ns0:row>
    <ns0:row r="5" ht="15" hidden="0">
      <ns0:c r="A5" s="4" t="s">
        <ns0:v>19</ns0:v>
      </ns0:c>
      <ns0:c r="B5" s="5" t="n">
        <ns0:v>808924</ns0:v>
      </ns0:c>
      <ns0:c r="C5" s="5"/>
      <ns0:c r="D5" s="4" t="s">
        <ns0:v>13</ns0:v>
      </ns0:c>
      <ns0:c r="E5" s="4" t="s">
        <ns0:v>20</ns0:v>
      </ns0:c>
    </ns0:row>
    <ns0:row r="6" ht="15" hidden="0">
      <ns0:c r="A6" s="4" t="s">
        <ns0:v>21</ns0:v>
      </ns0:c>
      <ns0:c r="B6" s="5" t="n">
        <ns0:v>2164986</ns0:v>
      </ns0:c>
      <ns0:c r="C6" s="5" t="n">
        <ns0:v>1757264</ns0:v>
      </ns0:c>
      <ns0:c r="D6" s="4" t="s">
        <ns0:v>22</ns0:v>
      </ns0:c>
      <ns0:c r="E6" s="4" t="s">
        <ns0:v>23</ns0:v>
      </ns0:c>
    </ns0:row>
    <ns0:row r="7" ht="15" hidden="0">
      <ns0:c r="A7" s="4" t="s">
        <ns0:v>24</ns0:v>
      </ns0:c>
      <ns0:c r="B7" s="5" t="n">
        <ns0:v>17124</ns0:v>
      </ns0:c>
      <ns0:c r="C7" s="5" t="n">
        <ns0:v>18211</ns0:v>
      </ns0:c>
      <ns0:c r="D7" s="4" t="s">
        <ns0:v>22</ns0:v>
      </ns0:c>
      <ns0:c r="E7" s="4" t="s">
        <ns0:v>23</ns0:v>
      </ns0:c>
    </ns0:row>
    <ns0:row r="8" ht="28.350000381469727" hidden="0">
      <ns0:c r="A8" s="4" t="s">
        <ns0:v>25</ns0:v>
      </ns0:c>
      <ns0:c r="B8" s="5" t="n">
        <ns0:v>16007349</ns0:v>
      </ns0:c>
      <ns0:c r="C8" s="6">
        <ns0:f aca="0">C9+C6+C7</ns0:f>
        <ns0:v>17725699</ns0:v>
      </ns0:c>
      <ns0:c r="D8" s="4" t="s">
        <ns0:v>26</ns0:v>
      </ns0:c>
      <ns0:c r="E8" s="4" t="s">
        <ns0:v>27</ns0:v>
      </ns0:c>
    </ns0:row>
    <ns0:row r="9" ht="15" hidden="0">
      <ns0:c r="A9" s="4" t="s">
        <ns0:v>28</ns0:v>
      </ns0:c>
      <ns0:c r="B9" s="5" t="n">
        <ns0:v>13825239</ns0:v>
      </ns0:c>
      <ns0:c r="C9" s="5" t="n">
        <ns0:v>15950224</ns0:v>
      </ns0:c>
      <ns0:c r="D9" s="4" t="s">
        <ns0:v>22</ns0:v>
      </ns0:c>
      <ns0:c r="E9" s="4" t="s">
        <ns0:v>23</ns0:v>
      </ns0:c>
    </ns0:row>
    <ns0:row r="10" ht="15" hidden="0">
      <ns0:c r="A10" s="4" t="s">
        <ns0:v>29</ns0:v>
      </ns0:c>
      <ns0:c r="B10" s="5" t="n">
        <ns0:v>21437011</ns0:v>
      </ns0:c>
      <ns0:c r="C10" s="5" t="n">
        <ns0:v>22480937</ns0:v>
      </ns0:c>
      <ns0:c r="D10" s="4" t="s">
        <ns0:v>16</ns0:v>
      </ns0:c>
      <ns0:c r="E10" s="4" t="s">
        <ns0:v>17</ns0:v>
      </ns0:c>
    </ns0:row>
    <ns0:row r="11" ht="15" hidden="0">
      <ns0:c r="A11" s="4" t="s">
        <ns0:v>30</ns0:v>
      </ns0:c>
      <ns0:c r="B11" s="5" t="n">
        <ns0:v>2000000</ns0:v>
      </ns0:c>
      <ns0:c r="C11" s="5"/>
      <ns0:c r="D11" s="4" t="s">
        <ns0:v>31</ns0:v>
      </ns0:c>
      <ns0:c r="E11" s="4" t="s">
        <ns0:v>20</ns0:v>
      </ns0:c>
    </ns0:row>
    <ns0:row r="13" ht="15" hidden="0">
      <ns0:c r="A13" s="4" t="s">
        <ns0:v>32</ns0:v>
      </ns0:c>
      <ns0:c r="B13" s="7">
        <ns0:f aca="0">B2/B3</ns0:f>
        <ns0:v>3.75638538010177</ns0:v>
      </ns0:c>
      <ns0:c r="C13" s="7">
        <ns0:f aca="0">C2/C3</ns0:f>
        <ns0:v>5.27848896701043</ns0:v>
      </ns0:c>
    </ns0:row>
    <ns0:row r="14" ht="15" hidden="0">
      <ns0:c r="A14" s="4" t="s">
        <ns0:v>33</ns0:v>
      </ns0:c>
      <ns0:c r="B14" s="7">
        <ns0:f aca="0">B9/B10</ns0:f>
        <ns0:v>0.644923818903671</ns0:v>
      </ns0:c>
      <ns0:c r="C14" s="7">
        <ns0:f aca="0">C9/C10</ns0:f>
        <ns0:v>0.709499964347572</ns0:v>
      </ns0:c>
    </ns0:row>
    <ns0:row r="15" ht="15" hidden="0">
      <ns0:c r="A15" s="4" t="s">
        <ns0:v>34</ns0:v>
      </ns0:c>
      <ns0:c r="B15" s="7">
        <ns0:f aca="0">B9/(B9+B10)</ns0:f>
        <ns0:v>0.392069110734567</ns0:v>
      </ns0:c>
      <ns0:c r="C15" s="7">
        <ns0:f aca="0">C9/(C9+C10)</ns0:f>
        <ns0:v>0.415033623366205</ns0:v>
      </ns0:c>
    </ns0:row>
    <ns0:row r="16" ht="28.350000381469727" hidden="0">
      <ns0:c r="A16" s="4" t="s">
        <ns0:v>35</ns0:v>
      </ns0:c>
      <ns0:c r="B16" s="6">
        <ns0:f aca="0">B8-B6-B7-B9</ns0:f>
        <ns0:v>0</ns0:v>
      </ns0:c>
      <ns0:c r="C16" s="6"/>
    </ns0:row>
    <ns0:row r="17" ht="15" hidden="0">
      <ns0:c r="A17" s="4" t="s">
        <ns0:v>36</ns0:v>
      </ns0:c>
      <ns0:c r="B17" s="5" t="n">
        <ns0:v>13842363</ns0:v>
      </ns0:c>
      <ns0:c r="C17" s="6"/>
      <ns0:c r="D17" s="8" t="s">
        <ns0:v>26</ns0:v>
      </ns0:c>
    </ns0:row>
    <ns0:row r="18" ht="15" hidden="0">
      <ns0:c r="A18" s="4" t="s">
        <ns0:v>37</ns0:v>
      </ns0:c>
      <ns0:c r="B18" s="6">
        <ns0:f aca="0">B17-B9-B7</ns0:f>
        <ns0:v>0</ns0:v>
      </ns0:c>
      <ns0:c r="C18" s="6"/>
    </ns0:row>
  </ns0:sheetData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11" hidden="0" customWidth="1"/>
    <ns0:col min="2" max="2" width="26" hidden="0" customWidth="1"/>
    <ns0:col min="3" max="4" width="12" hidden="0" customWidth="1"/>
    <ns0:col min="5" max="7" width="13" hidden="0" customWidth="1"/>
    <ns0:col min="8" max="9" width="14" hidden="0" customWidth="1"/>
    <ns0:col min="10" max="10" width="10" hidden="0" customWidth="1"/>
  </ns0:cols>
  <ns0:sheetData>
    <ns0:row r="1" ht="28.350000381469727" hidden="0">
      <ns0:c r="A1" s="3" t="s">
        <ns0:v>38</ns0:v>
      </ns0:c>
      <ns0:c r="B1" s="3" t="s">
        <ns0:v>39</ns0:v>
      </ns0:c>
      <ns0:c r="C1" s="3" t="s">
        <ns0:v>40</ns0:v>
      </ns0:c>
      <ns0:c r="D1" s="3" t="s">
        <ns0:v>41</ns0:v>
      </ns0:c>
      <ns0:c r="E1" s="3" t="s">
        <ns0:v>42</ns0:v>
      </ns0:c>
      <ns0:c r="F1" s="3" t="s">
        <ns0:v>43</ns0:v>
      </ns0:c>
      <ns0:c r="G1" s="3" t="s">
        <ns0:v>44</ns0:v>
      </ns0:c>
      <ns0:c r="H1" s="3" t="s">
        <ns0:v>45</ns0:v>
      </ns0:c>
      <ns0:c r="I1" s="3" t="s">
        <ns0:v>46</ns0:v>
      </ns0:c>
      <ns0:c r="J1" s="3" t="s">
        <ns0:v>47</ns0:v>
      </ns0:c>
    </ns0:row>
    <ns0:row r="2" ht="41.75" hidden="0">
      <ns0:c r="A2" s="4" t="s">
        <ns0:v>48</ns0:v>
      </ns0:c>
      <ns0:c r="B2" s="4" t="s">
        <ns0:v>49</ns0:v>
      </ns0:c>
      <ns0:c r="C2" s="5" t="n">
        <ns0:v>240041</ns0:v>
      </ns0:c>
      <ns0:c r="D2" s="5" t="n">
        <ns0:v>941</ns0:v>
      </ns0:c>
      <ns0:c r="E2" s="5" t="n">
        <ns0:v>13997</ns0:v>
      </ns0:c>
      <ns0:c r="F2" s="5" t="n">
        <ns0:v>170</ns0:v>
      </ns0:c>
      <ns0:c r="G2" s="5" t="n">
        <ns0:v>2752</ns0:v>
      </ns0:c>
      <ns0:c r="H2" s="5" t="n">
        <ns0:v>257901</ns0:v>
      </ns0:c>
      <ns0:c r="I2" s="6">
        <ns0:f aca="0">SUM(C2:G2)</ns0:f>
        <ns0:v>257901</ns0:v>
      </ns0:c>
      <ns0:c r="J2" s="6">
        <ns0:f aca="0">H2-I2</ns0:f>
        <ns0:v>0</ns0:v>
      </ns0:c>
    </ns0:row>
    <ns0:row r="3" ht="41.75" hidden="0">
      <ns0:c r="A3" s="4" t="s">
        <ns0:v>48</ns0:v>
      </ns0:c>
      <ns0:c r="B3" s="4" t="s">
        <ns0:v>50</ns0:v>
      </ns0:c>
      <ns0:c r="C3" s="5" t="n">
        <ns0:v>11751</ns0:v>
      </ns0:c>
      <ns0:c r="D3" s="5" t="n">
        <ns0:v>34889</ns0:v>
      </ns0:c>
      <ns0:c r="E3" s="5" t="n">
        <ns0:v>93104</ns0:v>
      </ns0:c>
      <ns0:c r="F3" s="5" t="n">
        <ns0:v>549627</ns0:v>
      </ns0:c>
      <ns0:c r="G3" s="5" t="n">
        <ns0:v>619593</ns0:v>
      </ns0:c>
      <ns0:c r="H3" s="5" t="n">
        <ns0:v>1308964</ns0:v>
      </ns0:c>
      <ns0:c r="I3" s="6">
        <ns0:f aca="0">SUM(C3:G3)</ns0:f>
        <ns0:v>1308964</ns0:v>
      </ns0:c>
      <ns0:c r="J3" s="6">
        <ns0:f aca="0">H3-I3</ns0:f>
        <ns0:v>0</ns0:v>
      </ns0:c>
    </ns0:row>
    <ns0:row r="4" ht="41.75" hidden="0">
      <ns0:c r="A4" s="4" t="s">
        <ns0:v>48</ns0:v>
      </ns0:c>
      <ns0:c r="B4" s="4" t="s">
        <ns0:v>51</ns0:v>
      </ns0:c>
      <ns0:c r="C4" s="5" t="n">
        <ns0:v>57247</ns0:v>
      </ns0:c>
      <ns0:c r="D4" s="5" t="n">
        <ns0:v>413835</ns0:v>
      </ns0:c>
      <ns0:c r="E4" s="5" t="n">
        <ns0:v>1113009</ns0:v>
      </ns0:c>
      <ns0:c r="F4" s="5" t="n">
        <ns0:v>10545794</ns0:v>
      </ns0:c>
      <ns0:c r="G4" s="5" t="n">
        <ns0:v>20927296</ns0:v>
      </ns0:c>
      <ns0:c r="H4" s="5" t="n">
        <ns0:v>33057181</ns0:v>
      </ns0:c>
      <ns0:c r="I4" s="6">
        <ns0:f aca="0">SUM(C4:G4)</ns0:f>
        <ns0:v>33057181</ns0:v>
      </ns0:c>
      <ns0:c r="J4" s="6">
        <ns0:f aca="0">H4-I4</ns0:f>
        <ns0:v>0</ns0:v>
      </ns0:c>
    </ns0:row>
    <ns0:row r="5" ht="41.75" hidden="0">
      <ns0:c r="A5" s="4" t="s">
        <ns0:v>48</ns0:v>
      </ns0:c>
      <ns0:c r="B5" s="4" t="s">
        <ns0:v>52</ns0:v>
      </ns0:c>
      <ns0:c r="C5" s="5" t="n">
        <ns0:v>1560</ns0:v>
      </ns0:c>
      <ns0:c r="D5" s="5" t="n">
        <ns0:v>4750</ns0:v>
      </ns0:c>
      <ns0:c r="E5" s="5" t="n">
        <ns0:v>31042</ns0:v>
      </ns0:c>
      <ns0:c r="F5" s="5" t="n">
        <ns0:v>36961</ns0:v>
      </ns0:c>
      <ns0:c r="G5" s="5" t="n">
        <ns0:v>0</ns0:v>
      </ns0:c>
      <ns0:c r="H5" s="5" t="n">
        <ns0:v>74313</ns0:v>
      </ns0:c>
      <ns0:c r="I5" s="6">
        <ns0:f aca="0">SUM(C5:G5)</ns0:f>
        <ns0:v>74313</ns0:v>
      </ns0:c>
      <ns0:c r="J5" s="6">
        <ns0:f aca="0">H5-I5</ns0:f>
        <ns0:v>0</ns0:v>
      </ns0:c>
    </ns0:row>
    <ns0:row r="6" ht="41.75" hidden="0">
      <ns0:c r="A6" s="4" t="s">
        <ns0:v>48</ns0:v>
      </ns0:c>
      <ns0:c r="B6" s="4" t="s">
        <ns0:v>53</ns0:v>
      </ns0:c>
      <ns0:c r="C6" s="5" t="n">
        <ns0:v>310599</ns0:v>
      </ns0:c>
      <ns0:c r="D6" s="5" t="n">
        <ns0:v>454415</ns0:v>
      </ns0:c>
      <ns0:c r="E6" s="5" t="n">
        <ns0:v>1251152</ns0:v>
      </ns0:c>
      <ns0:c r="F6" s="5" t="n">
        <ns0:v>11132552</ns0:v>
      </ns0:c>
      <ns0:c r="G6" s="5" t="n">
        <ns0:v>21549641</ns0:v>
      </ns0:c>
      <ns0:c r="H6" s="5" t="n">
        <ns0:v>34698359</ns0:v>
      </ns0:c>
      <ns0:c r="I6" s="6">
        <ns0:f aca="0">SUM(C6:G6)</ns0:f>
        <ns0:v>34698359</ns0:v>
      </ns0:c>
      <ns0:c r="J6" s="6">
        <ns0:f aca="0">H6-I6</ns0:f>
        <ns0:v>0</ns0:v>
      </ns0:c>
    </ns0:row>
    <ns0:row r="7" ht="41.75" hidden="0">
      <ns0:c r="A7" s="4" t="s">
        <ns0:v>48</ns0:v>
      </ns0:c>
      <ns0:c r="B7" s="4" t="s">
        <ns0:v>54</ns0:v>
      </ns0:c>
      <ns0:c r="C7" s="6">
        <ns0:f aca="0">SUM(C2:C5)-C6</ns0:f>
        <ns0:v>0</ns0:v>
      </ns0:c>
      <ns0:c r="D7" s="6">
        <ns0:f aca="0">SUM(D2:D5)-D6</ns0:f>
        <ns0:v>0</ns0:v>
      </ns0:c>
      <ns0:c r="E7" s="6">
        <ns0:f aca="0">SUM(E2:E5)-E6</ns0:f>
        <ns0:v>0</ns0:v>
      </ns0:c>
      <ns0:c r="F7" s="6">
        <ns0:f aca="0">SUM(F2:F5)-F6</ns0:f>
        <ns0:v>0</ns0:v>
      </ns0:c>
      <ns0:c r="G7" s="6">
        <ns0:f aca="0">SUM(G2:G5)-G6</ns0:f>
        <ns0:v>0</ns0:v>
      </ns0:c>
      <ns0:c r="H7" s="6">
        <ns0:f aca="0">SUM(H2:H5)-H6</ns0:f>
        <ns0:v>0</ns0:v>
      </ns0:c>
    </ns0:row>
    <ns0:row r="9" ht="41.75" hidden="0">
      <ns0:c r="A9" s="4" t="s">
        <ns0:v>55</ns0:v>
      </ns0:c>
      <ns0:c r="B9" s="4" t="s">
        <ns0:v>49</ns0:v>
      </ns0:c>
      <ns0:c r="C9" s="5" t="n">
        <ns0:v>171825</ns0:v>
      </ns0:c>
      <ns0:c r="D9" s="5" t="n">
        <ns0:v>29130</ns0:v>
      </ns0:c>
      <ns0:c r="E9" s="5" t="n">
        <ns0:v>28659</ns0:v>
      </ns0:c>
      <ns0:c r="F9" s="5" t="n">
        <ns0:v>132</ns0:v>
      </ns0:c>
      <ns0:c r="G9" s="5" t="n">
        <ns0:v>3052</ns0:v>
      </ns0:c>
      <ns0:c r="H9" s="5" t="n">
        <ns0:v>232798</ns0:v>
      </ns0:c>
      <ns0:c r="I9" s="6">
        <ns0:f aca="0">SUM(C9:G9)</ns0:f>
        <ns0:v>232798</ns0:v>
      </ns0:c>
      <ns0:c r="J9" s="6">
        <ns0:f aca="0">H9-I9</ns0:f>
        <ns0:v>0</ns0:v>
      </ns0:c>
    </ns0:row>
    <ns0:row r="10" ht="41.75" hidden="0">
      <ns0:c r="A10" s="4" t="s">
        <ns0:v>55</ns0:v>
      </ns0:c>
      <ns0:c r="B10" s="4" t="s">
        <ns0:v>50</ns0:v>
      </ns0:c>
      <ns0:c r="C10" s="5" t="n">
        <ns0:v>11745</ns0:v>
      </ns0:c>
      <ns0:c r="D10" s="5" t="n">
        <ns0:v>34953</ns0:v>
      </ns0:c>
      <ns0:c r="E10" s="5" t="n">
        <ns0:v>92785</ns0:v>
      </ns0:c>
      <ns0:c r="F10" s="5" t="n">
        <ns0:v>539019</ns0:v>
      </ns0:c>
      <ns0:c r="G10" s="5" t="n">
        <ns0:v>599370</ns0:v>
      </ns0:c>
      <ns0:c r="H10" s="5" t="n">
        <ns0:v>1277872</ns0:v>
      </ns0:c>
      <ns0:c r="I10" s="6">
        <ns0:f aca="0">SUM(C10:G10)</ns0:f>
        <ns0:v>1277872</ns0:v>
      </ns0:c>
      <ns0:c r="J10" s="6">
        <ns0:f aca="0">H10-I10</ns0:f>
        <ns0:v>0</ns0:v>
      </ns0:c>
    </ns0:row>
    <ns0:row r="11" ht="41.75" hidden="0">
      <ns0:c r="A11" s="4" t="s">
        <ns0:v>55</ns0:v>
      </ns0:c>
      <ns0:c r="B11" s="4" t="s">
        <ns0:v>51</ns0:v>
      </ns0:c>
      <ns0:c r="C11" s="5" t="n">
        <ns0:v>272078</ns0:v>
      </ns0:c>
      <ns0:c r="D11" s="5" t="n">
        <ns0:v>299512</ns0:v>
      </ns0:c>
      <ns0:c r="E11" s="5" t="n">
        <ns0:v>706195</ns0:v>
      </ns0:c>
      <ns0:c r="F11" s="5" t="n">
        <ns0:v>10780264</ns0:v>
      </ns0:c>
      <ns0:c r="G11" s="5" t="n">
        <ns0:v>25924775</ns0:v>
      </ns0:c>
      <ns0:c r="H11" s="5" t="n">
        <ns0:v>37982824</ns0:v>
      </ns0:c>
      <ns0:c r="I11" s="6">
        <ns0:f aca="0">SUM(C11:G11)</ns0:f>
        <ns0:v>37982824</ns0:v>
      </ns0:c>
      <ns0:c r="J11" s="6">
        <ns0:f aca="0">H11-I11</ns0:f>
        <ns0:v>0</ns0:v>
      </ns0:c>
    </ns0:row>
    <ns0:row r="12" ht="41.75" hidden="0">
      <ns0:c r="A12" s="4" t="s">
        <ns0:v>55</ns0:v>
      </ns0:c>
      <ns0:c r="B12" s="4" t="s">
        <ns0:v>52</ns0:v>
      </ns0:c>
      <ns0:c r="C12" s="5" t="n">
        <ns0:v>1674</ns0:v>
      </ns0:c>
      <ns0:c r="D12" s="5" t="n">
        <ns0:v>5097</ns0:v>
      </ns0:c>
      <ns0:c r="E12" s="5" t="n">
        <ns0:v>10781</ns0:v>
      </ns0:c>
      <ns0:c r="F12" s="5" t="n">
        <ns0:v>30313</ns0:v>
      </ns0:c>
      <ns0:c r="G12" s="5" t="n">
        <ns0:v>0</ns0:v>
      </ns0:c>
      <ns0:c r="H12" s="5" t="n">
        <ns0:v>47865</ns0:v>
      </ns0:c>
      <ns0:c r="I12" s="6">
        <ns0:f aca="0">SUM(C12:G12)</ns0:f>
        <ns0:v>47865</ns0:v>
      </ns0:c>
      <ns0:c r="J12" s="6">
        <ns0:f aca="0">H12-I12</ns0:f>
        <ns0:v>0</ns0:v>
      </ns0:c>
    </ns0:row>
    <ns0:row r="13" ht="41.75" hidden="0">
      <ns0:c r="A13" s="4" t="s">
        <ns0:v>55</ns0:v>
      </ns0:c>
      <ns0:c r="B13" s="4" t="s">
        <ns0:v>53</ns0:v>
      </ns0:c>
      <ns0:c r="C13" s="5" t="n">
        <ns0:v>457322</ns0:v>
      </ns0:c>
      <ns0:c r="D13" s="5" t="n">
        <ns0:v>368692</ns0:v>
      </ns0:c>
      <ns0:c r="E13" s="5" t="n">
        <ns0:v>838420</ns0:v>
      </ns0:c>
      <ns0:c r="F13" s="5" t="n">
        <ns0:v>11349728</ns0:v>
      </ns0:c>
      <ns0:c r="G13" s="5" t="n">
        <ns0:v>26527197</ns0:v>
      </ns0:c>
      <ns0:c r="H13" s="5" t="n">
        <ns0:v>39541359</ns0:v>
      </ns0:c>
      <ns0:c r="I13" s="6">
        <ns0:f aca="0">SUM(C13:G13)</ns0:f>
        <ns0:v>39541359</ns0:v>
      </ns0:c>
      <ns0:c r="J13" s="6">
        <ns0:f aca="0">H13-I13</ns0:f>
        <ns0:v>0</ns0:v>
      </ns0:c>
    </ns0:row>
    <ns0:row r="14" ht="41.75" hidden="0">
      <ns0:c r="A14" s="4" t="s">
        <ns0:v>55</ns0:v>
      </ns0:c>
      <ns0:c r="B14" s="4" t="s">
        <ns0:v>54</ns0:v>
      </ns0:c>
      <ns0:c r="C14" s="6">
        <ns0:f aca="0">SUM(C9:C12)-C13</ns0:f>
        <ns0:v>0</ns0:v>
      </ns0:c>
      <ns0:c r="D14" s="6">
        <ns0:f aca="0">SUM(D9:D12)-D13</ns0:f>
        <ns0:v>0</ns0:v>
      </ns0:c>
      <ns0:c r="E14" s="6">
        <ns0:f aca="0">SUM(E9:E12)-E13</ns0:f>
        <ns0:v>0</ns0:v>
      </ns0:c>
      <ns0:c r="F14" s="6">
        <ns0:f aca="0">SUM(F9:F12)-F13</ns0:f>
        <ns0:v>0</ns0:v>
      </ns0:c>
      <ns0:c r="G14" s="6">
        <ns0:f aca="0">SUM(G9:G12)-G13</ns0:f>
        <ns0:v>0</ns0:v>
      </ns0:c>
      <ns0:c r="H14" s="6">
        <ns0:f aca="0">SUM(H9:H12)-H13</ns0:f>
        <ns0:v>0</ns0:v>
      </ns0:c>
    </ns0:row>
    <ns0:row r="16" ht="68.6500015258789" hidden="0">
      <ns0:c r="A16" s="4"/>
      <ns0:c r="B16" s="4" t="s">
        <ns0:v>56</ns0:v>
      </ns0:c>
      <ns0:c r="C16" s="6">
        <ns0:f aca="0">SUM(C6:E6)</ns0:f>
        <ns0:v>2016166</ns0:v>
      </ns0:c>
      <ns0:c r="D16" s="4"/>
      <ns0:c r="E16" s="4"/>
      <ns0:c r="F16" s="4"/>
      <ns0:c r="G16" s="4"/>
      <ns0:c r="H16" s="6">
        <ns0:f aca="0">SUM(C13:E13)</ns0:f>
        <ns0:v>1664434</ns0:v>
      </ns0:c>
      <ns0:c r="I16" s="4"/>
      <ns0:c r="J16" s="4" t="s">
        <ns0:v>57</ns0:v>
      </ns0:c>
    </ns0:row>
    <ns0:row r="17" ht="28.350000381469727" hidden="0">
      <ns0:c r="A17" s="4"/>
      <ns0:c r="B17" s="4" t="s">
        <ns0:v>58</ns0:v>
      </ns0:c>
      <ns0:c r="C17" s="6">
        <ns0:f aca="0">Liquidez!B6+Liquidez!B11</ns0:f>
        <ns0:v>4164986</ns0:v>
      </ns0:c>
      <ns0:c r="D17" s="4"/>
      <ns0:c r="E17" s="4"/>
      <ns0:c r="F17" s="4"/>
      <ns0:c r="G17" s="4"/>
      <ns0:c r="H17" s="4"/>
      <ns0:c r="I17" s="4"/>
      <ns0:c r="J17" s="4"/>
    </ns0:row>
    <ns0:row r="18" ht="28.350000381469727" hidden="0">
      <ns0:c r="A18" s="4"/>
      <ns0:c r="B18" s="4" t="s">
        <ns0:v>59</ns0:v>
      </ns0:c>
      <ns0:c r="C18" s="9">
        <ns0:f aca="0">C17/C16</ns0:f>
        <ns0:v>2.06579517757962</ns0:v>
      </ns0:c>
      <ns0:c r="D18" s="4"/>
      <ns0:c r="E18" s="4"/>
      <ns0:c r="F18" s="4"/>
      <ns0:c r="G18" s="4"/>
      <ns0:c r="H18" s="4"/>
      <ns0:c r="I18" s="4"/>
      <ns0:c r="J18" s="4"/>
    </ns0:row>
  </ns0:sheetData>
  <ns0:pageMargins left="0.7" right="0.7" top="0.75" bottom="0.75" header="0.3" footer="0.3"/>
</ns0:worksheet>
</file>

<file path=xl/worksheets/sheet4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46" hidden="0" customWidth="1"/>
    <ns0:col min="2" max="4" width="14" hidden="0" customWidth="1"/>
    <ns0:col min="5" max="5" width="22" hidden="0" customWidth="1"/>
    <ns0:col min="6" max="6" width="60" hidden="0" customWidth="1"/>
  </ns0:cols>
  <ns0:sheetData>
    <ns0:row r="1" ht="28.350000381469727" hidden="0">
      <ns0:c r="A1" s="3" t="s">
        <ns0:v>60</ns0:v>
      </ns0:c>
      <ns0:c r="B1" s="3" t="s">
        <ns0:v>61</ns0:v>
      </ns0:c>
      <ns0:c r="C1" s="3" t="s">
        <ns0:v>62</ns0:v>
      </ns0:c>
      <ns0:c r="D1" s="3" t="s">
        <ns0:v>63</ns0:v>
      </ns0:c>
      <ns0:c r="E1" s="3" t="s">
        <ns0:v>64</ns0:v>
      </ns0:c>
      <ns0:c r="F1" s="3" t="s">
        <ns0:v>65</ns0:v>
      </ns0:c>
    </ns0:row>
    <ns0:row r="2" ht="28.350000381469727" hidden="0">
      <ns0:c r="A2" s="4" t="s">
        <ns0:v>66</ns0:v>
      </ns0:c>
      <ns0:c r="B2" s="5" t="n">
        <ns0:v>-1215500</ns0:v>
      </ns0:c>
      <ns0:c r="C2" s="5" t="n">
        <ns0:v>-181477</ns0:v>
      </ns0:c>
      <ns0:c r="D2" s="5" t="n">
        <ns0:v>-494574</ns0:v>
      </ns0:c>
      <ns0:c r="E2" s="4" t="s">
        <ns0:v>67</ns0:v>
      </ns0:c>
      <ns0:c r="F2" s="4" t="s">
        <ns0:v>68</ns0:v>
      </ns0:c>
    </ns0:row>
    <ns0:row r="3" ht="15" hidden="0">
      <ns0:c r="A3" s="4" t="s">
        <ns0:v>69</ns0:v>
      </ns0:c>
      <ns0:c r="B3" s="5" t="n">
        <ns0:v>-10688556</ns0:v>
      </ns0:c>
      <ns0:c r="C3" s="5" t="n">
        <ns0:v>-10262943</ns0:v>
      </ns0:c>
      <ns0:c r="D3" s="5"/>
      <ns0:c r="E3" s="4" t="s">
        <ns0:v>70</ns0:v>
      </ns0:c>
      <ns0:c r="F3" s="4"/>
    </ns0:row>
    <ns0:row r="4" ht="15" hidden="0">
      <ns0:c r="A4" s="4" t="s">
        <ns0:v>71</ns0:v>
      </ns0:c>
      <ns0:c r="B4" s="5" t="n">
        <ns0:v>5304081</ns0:v>
      </ns0:c>
      <ns0:c r="C4" s="5" t="n">
        <ns0:v>5205495</ns0:v>
      </ns0:c>
      <ns0:c r="D4" s="5"/>
      <ns0:c r="E4" s="4" t="s">
        <ns0:v>70</ns0:v>
      </ns0:c>
      <ns0:c r="F4" s="4"/>
    </ns0:row>
    <ns0:row r="5" ht="15" hidden="0">
      <ns0:c r="A5" s="4" t="s">
        <ns0:v>72</ns0:v>
      </ns0:c>
      <ns0:c r="B5" s="5" t="n">
        <ns0:v>373931</ns0:v>
      </ns0:c>
      <ns0:c r="C5" s="5" t="n">
        <ns0:v>1317777</ns0:v>
      </ns0:c>
      <ns0:c r="D5" s="5" t="n">
        <ns0:v>-249179</ns0:v>
      </ns0:c>
      <ns0:c r="E5" s="4" t="s">
        <ns0:v>73</ns0:v>
      </ns0:c>
      <ns0:c r="F5" s="4" t="s">
        <ns0:v>74</ns0:v>
      </ns0:c>
    </ns0:row>
    <ns0:row r="6" ht="15" hidden="0">
      <ns0:c r="A6" s="4" t="s">
        <ns0:v>75</ns0:v>
      </ns0:c>
      <ns0:c r="B6" s="5" t="n">
        <ns0:v>-717116</ns0:v>
      </ns0:c>
      <ns0:c r="C6" s="5" t="n">
        <ns0:v>1532628</ns0:v>
      </ns0:c>
      <ns0:c r="D6" s="5" t="n">
        <ns0:v>-143610</ns0:v>
      </ns0:c>
      <ns0:c r="E6" s="4" t="s">
        <ns0:v>73</ns0:v>
      </ns0:c>
      <ns0:c r="F6" s="4"/>
    </ns0:row>
    <ns0:row r="7" ht="15" hidden="0">
      <ns0:c r="A7" s="4" t="s">
        <ns0:v>76</ns0:v>
      </ns0:c>
      <ns0:c r="B7" s="5" t="n">
        <ns0:v>3921602</ns0:v>
      </ns0:c>
      <ns0:c r="C7" s="5" t="n">
        <ns0:v>4116668</ns0:v>
      </ns0:c>
      <ns0:c r="D7" s="5"/>
      <ns0:c r="E7" s="4" t="s">
        <ns0:v>77</ns0:v>
      </ns0:c>
      <ns0:c r="F7" s="4"/>
    </ns0:row>
    <ns0:row r="8" ht="15" hidden="0">
      <ns0:c r="A8" s="4" t="s">
        <ns0:v>78</ns0:v>
      </ns0:c>
      <ns0:c r="B8" s="5" t="n">
        <ns0:v>-1771288</ns0:v>
      </ns0:c>
      <ns0:c r="C8" s="5" t="n">
        <ns0:v>-554936</ns0:v>
      </ns0:c>
      <ns0:c r="D8" s="5"/>
      <ns0:c r="E8" s="4" t="s">
        <ns0:v>77</ns0:v>
      </ns0:c>
      <ns0:c r="F8" s="4"/>
    </ns0:row>
    <ns0:row r="9" ht="15" hidden="0">
      <ns0:c r="A9" s="4" t="s">
        <ns0:v>79</ns0:v>
      </ns0:c>
      <ns0:c r="B9" s="5" t="n">
        <ns0:v>-1153908</ns0:v>
      </ns0:c>
      <ns0:c r="C9" s="5" t="n">
        <ns0:v>-772742</ns0:v>
      </ns0:c>
      <ns0:c r="D9" s="5"/>
      <ns0:c r="E9" s="4" t="s">
        <ns0:v>77</ns0:v>
      </ns0:c>
      <ns0:c r="F9" s="4"/>
    </ns0:row>
    <ns0:row r="10" ht="15" hidden="0">
      <ns0:c r="A10" s="4" t="s">
        <ns0:v>80</ns0:v>
      </ns0:c>
      <ns0:c r="B10" s="5" t="n">
        <ns0:v>-1701314</ns0:v>
      </ns0:c>
      <ns0:c r="C10" s="5" t="n">
        <ns0:v>-1239070</ns0:v>
      </ns0:c>
      <ns0:c r="D10" s="5"/>
      <ns0:c r="E10" s="4" t="s">
        <ns0:v>77</ns0:v>
      </ns0:c>
      <ns0:c r="F10" s="4"/>
    </ns0:row>
    <ns0:row r="11" ht="15" hidden="0">
      <ns0:c r="A11" s="4" t="s">
        <ns0:v>81</ns0:v>
      </ns0:c>
      <ns0:c r="B11" s="5" t="n">
        <ns0:v>-1558685</ns0:v>
      </ns0:c>
      <ns0:c r="C11" s="5" t="n">
        <ns0:v>2668928</ns0:v>
      </ns0:c>
      <ns0:c r="D11" s="5" t="n">
        <ns0:v>-887363</ns0:v>
      </ns0:c>
      <ns0:c r="E11" s="4" t="s">
        <ns0:v>82</ns0:v>
      </ns0:c>
      <ns0:c r="F11" s="4"/>
    </ns0:row>
    <ns0:row r="13" ht="28.350000381469727" hidden="0">
      <ns0:c r="A13" s="4" t="s">
        <ns0:v>83</ns0:v>
      </ns0:c>
      <ns0:c r="B13" s="6">
        <ns0:f aca="0">B2+B5+B6-B11</ns0:f>
        <ns0:v>0</ns0:v>
      </ns0:c>
      <ns0:c r="C13" s="6">
        <ns0:f aca="0">C2+C5+C6-C11</ns0:f>
        <ns0:v>0</ns0:v>
      </ns0:c>
      <ns0:c r="D13" s="6">
        <ns0:f aca="0">D2+D5+D6-D11</ns0:f>
        <ns0:v>0</ns0:v>
      </ns0:c>
      <ns0:c r="E13" s="4" t="s">
        <ns0:v>84</ns0:v>
      </ns0:c>
      <ns0:c r="F13" s="4"/>
    </ns0:row>
    <ns0:row r="14" ht="28.350000381469727" hidden="0">
      <ns0:c r="A14" s="4" t="s">
        <ns0:v>85</ns0:v>
      </ns0:c>
      <ns0:c r="B14" s="5" t="n">
        <ns0:v>3455308</ns0:v>
      </ns0:c>
      <ns0:c r="C14" s="4"/>
      <ns0:c r="D14" s="5" t="n">
        <ns0:v>1988086</ns0:v>
      </ns0:c>
      <ns0:c r="E14" s="4" t="s">
        <ns0:v>86</ns0:v>
      </ns0:c>
      <ns0:c r="F14" s="4" t="s">
        <ns0:v>87</ns0:v>
      </ns0:c>
    </ns0:row>
  </ns0:sheetData>
  <ns0:pageMargins left="0.7" right="0.7" top="0.75" bottom="0.75" header="0.3" footer="0.3"/>
</ns0:worksheet>
</file>

<file path=xl/worksheets/sheet5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56" hidden="0" customWidth="1"/>
    <ns0:col min="2" max="2" width="16" hidden="0" customWidth="1"/>
    <ns0:col min="3" max="3" width="30" hidden="0" customWidth="1"/>
  </ns0:cols>
  <ns0:sheetData>
    <ns0:row r="1" ht="15" hidden="0">
      <ns0:c r="A1" s="3" t="s">
        <ns0:v>88</ns0:v>
      </ns0:c>
      <ns0:c r="B1" s="3" t="s">
        <ns0:v>89</ns0:v>
      </ns0:c>
      <ns0:c r="C1" s="3" t="s">
        <ns0:v>64</ns0:v>
      </ns0:c>
    </ns0:row>
    <ns0:row r="2" ht="15" hidden="0">
      <ns0:c r="A2" s="4" t="s">
        <ns0:v>90</ns0:v>
      </ns0:c>
      <ns0:c r="B2" s="5" t="n">
        <ns0:v>13236295</ns0:v>
      </ns0:c>
      <ns0:c r="C2" s="4" t="s">
        <ns0:v>26</ns0:v>
      </ns0:c>
    </ns0:row>
    <ns0:row r="3" ht="15" hidden="0">
      <ns0:c r="A3" s="4" t="s">
        <ns0:v>91</ns0:v>
      </ns0:c>
      <ns0:c r="B3" s="5" t="n">
        <ns0:v>3921602</ns0:v>
      </ns0:c>
      <ns0:c r="C3" s="4" t="s">
        <ns0:v>77</ns0:v>
      </ns0:c>
    </ns0:row>
    <ns0:row r="4" ht="15" hidden="0">
      <ns0:c r="A4" s="4" t="s">
        <ns0:v>92</ns0:v>
      </ns0:c>
      <ns0:c r="B4" s="5" t="n">
        <ns0:v>-1771288</ns0:v>
      </ns0:c>
      <ns0:c r="C4" s="4" t="s">
        <ns0:v>77</ns0:v>
      </ns0:c>
    </ns0:row>
    <ns0:row r="5" ht="15" hidden="0">
      <ns0:c r="A5" s="4" t="s">
        <ns0:v>93</ns0:v>
      </ns0:c>
      <ns0:c r="B5" s="5" t="n">
        <ns0:v>-1153908</ns0:v>
      </ns0:c>
      <ns0:c r="C5" s="4" t="s">
        <ns0:v>77</ns0:v>
      </ns0:c>
    </ns0:row>
    <ns0:row r="6" ht="15" hidden="0">
      <ns0:c r="A6" s="4" t="s">
        <ns0:v>94</ns0:v>
      </ns0:c>
      <ns0:c r="B6" s="5" t="n">
        <ns0:v>1720848</ns0:v>
      </ns0:c>
      <ns0:c r="C6" s="4" t="s">
        <ns0:v>70</ns0:v>
      </ns0:c>
    </ns0:row>
    <ns0:row r="7" ht="15" hidden="0">
      <ns0:c r="A7" s="4" t="s">
        <ns0:v>95</ns0:v>
      </ns0:c>
      <ns0:c r="B7" s="6">
        <ns0:f aca="0">SUM(B2:B6)</ns0:f>
        <ns0:v>15953549</ns0:v>
      </ns0:c>
      <ns0:c r="C7" s="4" t="s">
        <ns0:v>96</ns0:v>
      </ns0:c>
    </ns0:row>
    <ns0:row r="8" ht="15" hidden="0">
      <ns0:c r="A8" s="4" t="s">
        <ns0:v>97</ns0:v>
      </ns0:c>
      <ns0:c r="B8" s="5" t="n">
        <ns0:v>15951713</ns0:v>
      </ns0:c>
      <ns0:c r="C8" s="4" t="s">
        <ns0:v>26</ns0:v>
      </ns0:c>
    </ns0:row>
    <ns0:row r="9" ht="15" hidden="0">
      <ns0:c r="A9" s="4" t="s">
        <ns0:v>98</ns0:v>
      </ns0:c>
      <ns0:c r="B9" s="6">
        <ns0:f aca="0">B7-B8</ns0:f>
        <ns0:v>1836</ns0:v>
      </ns0:c>
      <ns0:c r="C9" s="4" t="s">
        <ns0:v>99</ns0:v>
      </ns0:c>
    </ns0:row>
    <ns0:row r="10" ht="15" hidden="0">
      <ns0:c r="A10" s="4" t="s">
        <ns0:v>100</ns0:v>
      </ns0:c>
      <ns0:c r="B10" s="9">
        <ns0:f aca="0">ABS(B9)/7000</ns0:f>
        <ns0:v>0.262285714285714</ns0:v>
      </ns0:c>
      <ns0:c r="C10" s="4"/>
    </ns0:row>
  </ns0:sheetData>
  <ns0:pageMargins left="0.7" right="0.7" top="0.75" bottom="0.75" header="0.3" footer="0.3"/>
</ns0:worksheet>
</file>

<file path=xl/worksheets/sheet6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56" hidden="0" customWidth="1"/>
    <ns0:col min="2" max="2" width="16" hidden="0" customWidth="1"/>
    <ns0:col min="3" max="3" width="30" hidden="0" customWidth="1"/>
    <ns0:col min="4" max="4" width="70" hidden="0" customWidth="1"/>
  </ns0:cols>
  <ns0:sheetData>
    <ns0:row r="1" ht="15" hidden="0" customHeight="1">
      <ns0:c r="A1" s="14" t="s">
        <ns0:v>101</ns0:v>
      </ns0:c>
      <ns0:c r="B1" s="14" t="s">
        <ns0:v>89</ns0:v>
      </ns0:c>
      <ns0:c r="C1" s="14" t="s">
        <ns0:v>64</ns0:v>
      </ns0:c>
      <ns0:c r="D1" s="14" t="s">
        <ns0:v>102</ns0:v>
      </ns0:c>
    </ns0:row>
    <ns0:row r="2" ht="15" hidden="0" customHeight="1">
      <ns0:c r="A2" s="15" t="s">
        <ns0:v>103</ns0:v>
      </ns0:c>
      <ns0:c r="B2" s="16" t="n">
        <ns0:v>3</ns0:v>
      </ns0:c>
      <ns0:c r="C2" s="15" t="str">
        <ns0:v>F0003 p.52; WEB-B10-014</ns0:v>
      </ns0:c>
      <ns0:c r="D2" s="15" t="s">
        <ns0:v>104</ns0:v>
      </ns0:c>
    </ns0:row>
    <ns0:row r="3" ht="15" hidden="0" customHeight="1">
      <ns0:c r="A3" s="15" t="s">
        <ns0:v>105</ns0:v>
      </ns0:c>
      <ns0:c r="B3" s="16" t="n">
        <ns0:v>0.7</ns0:v>
      </ns0:c>
      <ns0:c r="C3" s="15" t="str">
        <ns0:v>F0003 p.52; WEB-B10-014</ns0:v>
      </ns0:c>
      <ns0:c r="D3" s="15"/>
    </ns0:row>
    <ns0:row r="4" ht="15" hidden="0" customHeight="1">
      <ns0:c r="A4" s="15" t="s">
        <ns0:v>106</ns0:v>
      </ns0:c>
      <ns0:c r="B4" s="17" t="n">
        <ns0:v>681782</ns0:v>
      </ns0:c>
      <ns0:c r="C4" s="15" t="s">
        <ns0:v>107</ns0:v>
      </ns0:c>
      <ns0:c r="D4" s="15" t="str">
        <ns0:v>WEB-B10-014: R$695 milhões em 30/09/2025</ns0:v>
      </ns0:c>
    </ns0:row>
    <ns0:row r="5" ht="26.399999618530273" hidden="0" customHeight="1">
      <ns0:c r="A5" s="15" t="s">
        <ns0:v>108</ns0:v>
      </ns0:c>
      <ns0:c r="B5" s="18">
        <ns0:f aca="0">Liquidez!B9</ns0:f>
        <ns0:v>13825239</ns0:v>
      </ns0:c>
      <ns0:c r="C5" s="15" t="s">
        <ns0:v>22</ns0:v>
      </ns0:c>
      <ns0:c r="D5" s="15" t="s">
        <ns0:v>109</ns0:v>
      </ns0:c>
    </ns0:row>
    <ns0:row r="6" ht="15" hidden="0" customHeight="1">
      <ns0:c r="A6" s="15" t="s">
        <ns0:v>110</ns0:v>
      </ns0:c>
      <ns0:c r="B6" s="18">
        <ns0:f aca="0">Fluxos!B14</ns0:f>
        <ns0:v>3455308</ns0:v>
      </ns0:c>
      <ns0:c r="C6" s="15" t="s">
        <ns0:v>111</ns0:v>
      </ns0:c>
      <ns0:c r="D6" s="15" t="s">
        <ns0:v>112</ns0:v>
      </ns0:c>
    </ns0:row>
    <ns0:row r="7" ht="15" hidden="0" customHeight="1">
      <ns0:c r="A7" s="15" t="s">
        <ns0:v>113</ns0:v>
      </ns0:c>
      <ns0:c r="B7" s="18">
        <ns0:f aca="0">Liquidez!B10</ns0:f>
        <ns0:v>21437011</ns0:v>
      </ns0:c>
      <ns0:c r="C7" s="15" t="s">
        <ns0:v>16</ns0:v>
      </ns0:c>
      <ns0:c r="D7" s="15"/>
    </ns0:row>
    <ns0:row r="8" ht="15" hidden="0" customHeight="1">
      <ns0:c r="A8" s="15" t="s">
        <ns0:v>114</ns0:v>
      </ns0:c>
      <ns0:c r="B8" s="19">
        <ns0:f aca="0">B5/B6</ns0:f>
        <ns0:v>4.00115966507183</ns0:v>
      </ns0:c>
      <ns0:c r="C8" s="15" t="s">
        <ns0:v>96</ns0:v>
      </ns0:c>
      <ns0:c r="D8" s="15" t="s">
        <ns0:v>115</ns0:v>
      </ns0:c>
    </ns0:row>
    <ns0:row r="9" ht="26.399999618530273" hidden="0" customHeight="1">
      <ns0:c r="A9" s="15" t="s">
        <ns0:v>116</ns0:v>
      </ns0:c>
      <ns0:c r="B9" s="18" t="str">
        <ns0:f aca="0">IF(B8&gt;B2,"Acima (coerente com a nota 6.2)","Dentro")</ns0:f>
        <ns0:v>Acima (coerente com a nota 6.2)</ns0:v>
      </ns0:c>
      <ns0:c r="C9" s="15" t="s">
        <ns0:v>96</ns0:v>
      </ns0:c>
      <ns0:c r="D9" s="15" t="s">
        <ns0:v>117</ns0:v>
      </ns0:c>
    </ns0:row>
    <ns0:row r="10" ht="15" hidden="0" customHeight="1">
      <ns0:c r="A10" s="15" t="s">
        <ns0:v>118</ns0:v>
      </ns0:c>
      <ns0:c r="B10" s="20">
        <ns0:f aca="0">B5/(B5+B7)</ns0:f>
        <ns0:v>0.392069110734567</ns0:v>
      </ns0:c>
      <ns0:c r="C10" s="15" t="s">
        <ns0:v>96</ns0:v>
      </ns0:c>
      <ns0:c r="D10" s="15"/>
    </ns0:row>
    <ns0:row r="11" ht="15" hidden="0" customHeight="1">
      <ns0:c r="A11" s="15" t="s">
        <ns0:v>116</ns0:v>
      </ns0:c>
      <ns0:c r="B11" s="18" t="str">
        <ns0:f aca="0">IF(B10&gt;B3,"Acima","Dentro")</ns0:f>
        <ns0:v>Dentro</ns0:v>
      </ns0:c>
      <ns0:c r="C11" s="15" t="s">
        <ns0:v>96</ns0:v>
      </ns0:c>
      <ns0:c r="D11" s="15"/>
    </ns0:row>
    <ns0:row r="12" ht="65" hidden="0" customHeight="1">
      <ns0:c r="A12" s="15" t="s">
        <ns0:v>119</ns0:v>
      </ns0:c>
      <ns0:c r="B12" s="18" t="s">
        <ns0:v>120</ns0:v>
      </ns0:c>
      <ns0:c r="C12" s="15" t="str">
        <ns0:v>F0003 p.54; WEB-B10-014 (carta recebida em 28/11/2025)</ns0:v>
      </ns0:c>
      <ns0:c r="D12" s="15" t="inlineStr">
        <ns0:is>
          <ns0:t xml:space="preserve">Anterior ao balanço; indício favorável, não prova isolada da classificação. Examinar termos/direito de diferir ≥12 meses (CPC26.69(d),72A–72B,74–75; F0354 p.22–24). Carta original [PA].</ns0:t>
        </ns0:is>
      </ns0:c>
    </ns0:row>
    <ns0:row r="13" ht="15" hidden="0" customHeight="1">
      <ns0:c r="A13" s="15" t="s">
        <ns0:v>122</ns0:v>
      </ns0:c>
      <ns0:c r="B13" s="18" t="s">
        <ns0:v>123</ns0:v>
      </ns0:c>
      <ns0:c r="C13" s="15" t="s">
        <ns0:v>124</ns0:v>
      </ns0:c>
      <ns0:c r="D13" s="15" t="s">
        <ns0:v>125</ns0:v>
      </ns0:c>
    </ns0:row>
    <ns0:row r="14" ht="26.399999618530273" hidden="0" customHeight="1">
      <ns0:c r="A14" s="15" t="s">
        <ns0:v>126</ns0:v>
      </ns0:c>
      <ns0:c r="B14" s="18" t="s">
        <ns0:v>127</ns0:v>
      </ns0:c>
      <ns0:c r="C14" s="15" t="s">
        <ns0:v>128</ns0:v>
      </ns0:c>
      <ns0:c r="D14" s="15" t="s">
        <ns0:v>129</ns0:v>
      </ns0:c>
    </ns0:row>
    <ns0:row r="15" ht="26.399999618530273" hidden="0" customHeight="1">
      <ns0:c r="A15" s="15" t="s">
        <ns0:v>130</ns0:v>
      </ns0:c>
      <ns0:c r="B15" s="17" t="n">
        <ns0:v>230000</ns0:v>
      </ns0:c>
      <ns0:c r="C15" s="15" t="s">
        <ns0:v>131</ns0:v>
      </ns0:c>
      <ns0:c r="D15" s="15" t="s">
        <ns0:v>132</ns0:v>
      </ns0:c>
    </ns0:row>
    <ns0:row r="16" ht="26.399999618530273" hidden="0" customHeight="1">
      <ns0:c r="A16" s="15" t="s">
        <ns0:v>133</ns0:v>
      </ns0:c>
      <ns0:c r="B16" s="19">
        <ns0:f aca="0">B4/B15</ns0:f>
        <ns0:v>2.96426956521739</ns0:v>
      </ns0:c>
      <ns0:c r="C16" s="15" t="s">
        <ns0:v>96</ns0:v>
      </ns0:c>
      <ns0:c r="D16" s="15" t="s">
        <ns0:v>134</ns0:v>
      </ns0:c>
    </ns0:row>
    <ns0:row r="17" ht="26.399999618530273" hidden="0" customHeight="1">
      <ns0:c r="A17" s="15" t="s">
        <ns0:v>135</ns0:v>
      </ns0:c>
      <ns0:c r="B17" s="17" t="n">
        <ns0:v>15192514</ns0:v>
      </ns0:c>
      <ns0:c r="C17" s="15" t="s">
        <ns0:v>136</ns0:v>
      </ns0:c>
      <ns0:c r="D17" s="15" t="s">
        <ns0:v>137</ns0:v>
      </ns0:c>
    </ns0:row>
    <ns0:row r="18" ht="15" hidden="0" customHeight="1">
      <ns0:c r="A18" s="21"/>
      <ns0:c r="B18" s="21"/>
      <ns0:c r="C18" s="21"/>
      <ns0:c r="D18" s="21"/>
    </ns0:row>
    <ns0:row r="19" ht="15" hidden="0" customHeight="1">
      <ns0:c r="A19" s="15" t="s">
        <ns0:v>138</ns0:v>
      </ns0:c>
      <ns0:c r="B19" s="18">
        <ns0:f aca="0">Fluxos!D14*2</ns0:f>
        <ns0:v>3976172</ns0:v>
      </ns0:c>
      <ns0:c r="C19" s="15" t="s">
        <ns0:v>139</ns0:v>
      </ns0:c>
      <ns0:c r="D19" s="15" t="s">
        <ns0:v>140</ns0:v>
      </ns0:c>
    </ns0:row>
    <ns0:row r="20" ht="26.399999618530273" hidden="0" customHeight="1">
      <ns0:c r="A20" s="15" t="s">
        <ns0:v>141</ns0:v>
      </ns0:c>
      <ns0:c r="B20" s="19">
        <ns0:f aca="0">Liquidez!C9/B19</ns0:f>
        <ns0:v>4.01145222087978</ns0:v>
      </ns0:c>
      <ns0:c r="C20" s="15" t="s">
        <ns0:v>96</ns0:v>
      </ns0:c>
      <ns0:c r="D20" s="15" t="s">
        <ns0:v>142</ns0:v>
      </ns0:c>
    </ns0:row>
  </ns0:sheetData>
  <ns0:pageMargins left="0.7" right="0.7" top="0.75" bottom="0.75" header="0.3" footer="0.3"/>
</ns0:worksheet>
</file>

<file path=xl/worksheets/sheet7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54" hidden="0" customWidth="1"/>
    <ns0:col min="2" max="3" width="16" hidden="0" customWidth="1"/>
    <ns0:col min="4" max="4" width="34" hidden="0" customWidth="1"/>
    <ns0:col min="5" max="5" width="18" hidden="0" customWidth="1"/>
  </ns0:cols>
  <ns0:sheetData>
    <ns0:row r="1" ht="26.399999618530273" hidden="0" customHeight="1">
      <ns0:c r="A1" s="14" t="s">
        <ns0:v>143</ns0:v>
      </ns0:c>
      <ns0:c r="B1" s="14" t="s">
        <ns0:v>89</ns0:v>
      </ns0:c>
      <ns0:c r="C1" s="14" t="s">
        <ns0:v>144</ns0:v>
      </ns0:c>
      <ns0:c r="D1" s="14" t="s">
        <ns0:v>64</ns0:v>
      </ns0:c>
      <ns0:c r="E1" s="14" t="s">
        <ns0:v>145</ns0:v>
      </ns0:c>
    </ns0:row>
    <ns0:row r="2" ht="15" hidden="0" customHeight="1">
      <ns0:c r="A2" s="15" t="s">
        <ns0:v>146</ns0:v>
      </ns0:c>
      <ns0:c r="B2" s="18">
        <ns0:f aca="0">Vencimentos!C16</ns0:f>
        <ns0:v>2016166</ns0:v>
      </ns0:c>
      <ns0:c r="C2" s="15" t="s">
        <ns0:v>147</ns0:v>
      </ns0:c>
      <ns0:c r="D2" s="15" t="s">
        <ns0:v>148</ns0:v>
      </ns0:c>
      <ns0:c r="E2" s="15" t="s">
        <ns0:v>149</ns0:v>
      </ns0:c>
    </ns0:row>
    <ns0:row r="3" ht="15" hidden="0" customHeight="1">
      <ns0:c r="A3" s="15" t="s">
        <ns0:v>150</ns0:v>
      </ns0:c>
      <ns0:c r="B3" s="17" t="n">
        <ns0:v>422540</ns0:v>
      </ns0:c>
      <ns0:c r="C3" s="15" t="s">
        <ns0:v>147</ns0:v>
      </ns0:c>
      <ns0:c r="D3" s="15" t="s">
        <ns0:v>16</ns0:v>
      </ns0:c>
      <ns0:c r="E3" s="15" t="s">
        <ns0:v>149</ns0:v>
      </ns0:c>
    </ns0:row>
    <ns0:row r="4" ht="15" hidden="0" customHeight="1">
      <ns0:c r="A4" s="15" t="s">
        <ns0:v>151</ns0:v>
      </ns0:c>
      <ns0:c r="B4" s="17" t="n">
        <ns0:v>279322</ns0:v>
      </ns0:c>
      <ns0:c r="C4" s="15" t="s">
        <ns0:v>147</ns0:v>
      </ns0:c>
      <ns0:c r="D4" s="15" t="s">
        <ns0:v>152</ns0:v>
      </ns0:c>
      <ns0:c r="E4" s="15" t="s">
        <ns0:v>149</ns0:v>
      </ns0:c>
    </ns0:row>
    <ns0:row r="5" ht="26.399999618530273" hidden="0" customHeight="1">
      <ns0:c r="A5" s="15" t="s">
        <ns0:v>153</ns0:v>
      </ns0:c>
      <ns0:c r="B5" s="17" t="n">
        <ns0:v>3506169</ns0:v>
      </ns0:c>
      <ns0:c r="C5" s="15" t="s">
        <ns0:v>154</ns0:v>
      </ns0:c>
      <ns0:c r="D5" s="15" t="str">
        <ns0:v>WEB-B10-018</ns0:v>
      </ns0:c>
      <ns0:c r="E5" s="15" t="s">
        <ns0:v>155</ns0:v>
      </ns0:c>
    </ns0:row>
    <ns0:row r="6" ht="15" hidden="0" customHeight="1">
      <ns0:c r="A6" s="15" t="s">
        <ns0:v>156</ns0:v>
      </ns0:c>
      <ns0:c r="B6" s="18">
        <ns0:f aca="0">Liquidez!B6</ns0:f>
        <ns0:v>2164986</ns0:v>
      </ns0:c>
      <ns0:c r="C6" s="15" t="s">
        <ns0:v>147</ns0:v>
      </ns0:c>
      <ns0:c r="D6" s="15" t="s">
        <ns0:v>22</ns0:v>
      </ns0:c>
      <ns0:c r="E6" s="15" t="s">
        <ns0:v>149</ns0:v>
      </ns0:c>
    </ns0:row>
    <ns0:row r="7" ht="15" hidden="0" customHeight="1">
      <ns0:c r="A7" s="15" t="s">
        <ns0:v>157</ns0:v>
      </ns0:c>
      <ns0:c r="B7" s="18">
        <ns0:f aca="0">Liquidez!B11</ns0:f>
        <ns0:v>2000000</ns0:v>
      </ns0:c>
      <ns0:c r="C7" s="15" t="s">
        <ns0:v>147</ns0:v>
      </ns0:c>
      <ns0:c r="D7" s="15" t="s">
        <ns0:v>31</ns0:v>
      </ns0:c>
      <ns0:c r="E7" s="15" t="s">
        <ns0:v>149</ns0:v>
      </ns0:c>
    </ns0:row>
    <ns0:row r="8" ht="15" hidden="0" customHeight="1">
      <ns0:c r="A8" s="15" t="s">
        <ns0:v>158</ns0:v>
      </ns0:c>
      <ns0:c r="B8" s="17" t="n">
        <ns0:v>3854626</ns0:v>
      </ns0:c>
      <ns0:c r="C8" s="15" t="s">
        <ns0:v>159</ns0:v>
      </ns0:c>
      <ns0:c r="D8" s="15" t="s">
        <ns0:v>152</ns0:v>
      </ns0:c>
      <ns0:c r="E8" s="15" t="s">
        <ns0:v>149</ns0:v>
      </ns0:c>
    </ns0:row>
    <ns0:row r="9" ht="15" hidden="0" customHeight="1">
      <ns0:c r="A9" s="15" t="s">
        <ns0:v>160</ns0:v>
      </ns0:c>
      <ns0:c r="B9" s="17" t="n">
        <ns0:v>1000000</ns0:v>
      </ns0:c>
      <ns0:c r="C9" s="15" t="s">
        <ns0:v>161</ns0:v>
      </ns0:c>
      <ns0:c r="D9" s="15" t="s">
        <ns0:v>162</ns0:v>
      </ns0:c>
      <ns0:c r="E9" s="15" t="s">
        <ns0:v>155</ns0:v>
      </ns0:c>
    </ns0:row>
    <ns0:row r="10" ht="15" hidden="0" customHeight="1">
      <ns0:c r="A10" s="15" t="s">
        <ns0:v>163</ns0:v>
      </ns0:c>
      <ns0:c r="B10" s="17" t="n">
        <ns0:v>2500000</ns0:v>
      </ns0:c>
      <ns0:c r="C10" s="15" t="s">
        <ns0:v>161</ns0:v>
      </ns0:c>
      <ns0:c r="D10" s="15" t="s">
        <ns0:v>164</ns0:v>
      </ns0:c>
      <ns0:c r="E10" s="15" t="s">
        <ns0:v>155</ns0:v>
      </ns0:c>
    </ns0:row>
    <ns0:row r="11" ht="15" hidden="0" customHeight="1">
      <ns0:c r="A11" s="15" t="s">
        <ns0:v>165</ns0:v>
      </ns0:c>
      <ns0:c r="B11" s="17" t="n">
        <ns0:v>1200000</ns0:v>
      </ns0:c>
      <ns0:c r="C11" s="15" t="s">
        <ns0:v>161</ns0:v>
      </ns0:c>
      <ns0:c r="D11" s="15" t="s">
        <ns0:v>166</ns0:v>
      </ns0:c>
      <ns0:c r="E11" s="15" t="s">
        <ns0:v>155</ns0:v>
      </ns0:c>
    </ns0:row>
    <ns0:row r="12" ht="15" hidden="0" customHeight="1">
      <ns0:c r="A12" s="15" t="s">
        <ns0:v>167</ns0:v>
      </ns0:c>
      <ns0:c r="B12" s="17" t="n">
        <ns0:v>1167482</ns0:v>
      </ns0:c>
      <ns0:c r="C12" s="15" t="s">
        <ns0:v>161</ns0:v>
      </ns0:c>
      <ns0:c r="D12" s="15" t="s">
        <ns0:v>168</ns0:v>
      </ns0:c>
      <ns0:c r="E12" s="15" t="s">
        <ns0:v>155</ns0:v>
      </ns0:c>
    </ns0:row>
    <ns0:row r="13" ht="15" hidden="0" customHeight="1">
      <ns0:c r="A13" s="15" t="s">
        <ns0:v>169</ns0:v>
      </ns0:c>
      <ns0:c r="B13" s="17" t="n">
        <ns0:v>398700</ns0:v>
      </ns0:c>
      <ns0:c r="C13" s="15" t="s">
        <ns0:v>161</ns0:v>
      </ns0:c>
      <ns0:c r="D13" s="15" t="str">
        <ns0:v>WEB-B10-012</ns0:v>
      </ns0:c>
      <ns0:c r="E13" s="15" t="s">
        <ns0:v>155</ns0:v>
      </ns0:c>
    </ns0:row>
    <ns0:row r="14" ht="15" hidden="0" customHeight="1">
      <ns0:c r="A14" s="21"/>
      <ns0:c r="B14" s="21"/>
      <ns0:c r="C14" s="21"/>
      <ns0:c r="D14" s="21"/>
      <ns0:c r="E14" s="21"/>
    </ns0:row>
    <ns0:row r="15" ht="26.399999618530273" hidden="0" customHeight="1">
      <ns0:c r="A15" s="15" t="s">
        <ns0:v>170</ns0:v>
      </ns0:c>
      <ns0:c r="B15" s="18">
        <ns0:f aca="0">B6+B7-B2-B3-B4</ns0:f>
        <ns0:v>1446958</ns0:v>
      </ns0:c>
      <ns0:c r="C15" s="15"/>
      <ns0:c r="D15" s="15" t="s">
        <ns0:v>171</ns0:v>
      </ns0:c>
      <ns0:c r="E15" s="15" t="s">
        <ns0:v>149</ns0:v>
      </ns0:c>
    </ns0:row>
    <ns0:row r="16" ht="26.399999618530273" hidden="0" customHeight="1">
      <ns0:c r="A16" s="15" t="s">
        <ns0:v>172</ns0:v>
      </ns0:c>
      <ns0:c r="B16" s="18">
        <ns0:f aca="0">B15-B5</ns0:f>
        <ns0:v>-2059211</ns0:v>
      </ns0:c>
      <ns0:c r="C16" s="15"/>
      <ns0:c r="D16" s="15" t="s">
        <ns0:v>173</ns0:v>
      </ns0:c>
      <ns0:c r="E16" s="15" t="s">
        <ns0:v>174</ns0:v>
      </ns0:c>
    </ns0:row>
  </ns0:sheetData>
  <ns0:pageMargins left="0.7" right="0.7" top="0.75" bottom="0.75" header="0.3" footer="0.3"/>
</ns0:worksheet>
</file>

<file path=xl/worksheets/sheet8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40" hidden="0" customWidth="1"/>
    <ns0:col min="2" max="2" width="10" hidden="0" customWidth="1"/>
    <ns0:col min="3" max="3" width="50" hidden="0" customWidth="1"/>
    <ns0:col min="4" max="4" width="60" hidden="0" customWidth="1"/>
    <ns0:col min="5" max="5" width="10" hidden="0" customWidth="1"/>
  </ns0:cols>
  <ns0:sheetData>
    <ns0:row r="1" ht="15" hidden="0" customHeight="1">
      <ns0:c r="A1" s="14" t="s">
        <ns0:v>175</ns0:v>
      </ns0:c>
      <ns0:c r="B1" s="14" t="s">
        <ns0:v>176</ns0:v>
      </ns0:c>
      <ns0:c r="C1" s="14" t="s">
        <ns0:v>177</ns0:v>
      </ns0:c>
      <ns0:c r="D1" s="14" t="s">
        <ns0:v>178</ns0:v>
      </ns0:c>
      <ns0:c r="E1" s="14" t="s">
        <ns0:v>179</ns0:v>
      </ns0:c>
    </ns0:row>
    <ns0:row r="2" ht="15" hidden="0" customHeight="1">
      <ns0:c r="A2" s="15" t="s">
        <ns0:v>180</ns0:v>
      </ns0:c>
      <ns0:c r="B2" s="15" t="s">
        <ns0:v>161</ns0:v>
      </ns0:c>
      <ns0:c r="C2" s="15" t="s">
        <ns0:v>181</ns0:v>
      </ns0:c>
      <ns0:c r="D2" s="15" t="s">
        <ns0:v>20</ns0:v>
      </ns0:c>
      <ns0:c r="E2" s="15" t="s">
        <ns0:v>182</ns0:v>
      </ns0:c>
    </ns0:row>
    <ns0:row r="3" ht="26.399999618530273" hidden="0" customHeight="1">
      <ns0:c r="A3" s="15" t="s">
        <ns0:v>183</ns0:v>
      </ns0:c>
      <ns0:c r="B3" s="15" t="s">
        <ns0:v>161</ns0:v>
      </ns0:c>
      <ns0:c r="C3" s="15" t="s">
        <ns0:v>184</ns0:v>
      </ns0:c>
      <ns0:c r="D3" s="15" t="s">
        <ns0:v>185</ns0:v>
      </ns0:c>
      <ns0:c r="E3" s="15" t="s">
        <ns0:v>182</ns0:v>
      </ns0:c>
    </ns0:row>
    <ns0:row r="4" ht="26.399999618530273" hidden="0" customHeight="1">
      <ns0:c r="A4" s="15" t="s">
        <ns0:v>186</ns0:v>
      </ns0:c>
      <ns0:c r="B4" s="15" t="s">
        <ns0:v>147</ns0:v>
      </ns0:c>
      <ns0:c r="C4" s="15" t="s">
        <ns0:v>187</ns0:v>
      </ns0:c>
      <ns0:c r="D4" s="15" t="s">
        <ns0:v>188</ns0:v>
      </ns0:c>
      <ns0:c r="E4" s="15" t="s">
        <ns0:v>189</ns0:v>
      </ns0:c>
    </ns0:row>
    <ns0:row r="5" ht="39.599998474121094" hidden="0" customHeight="1">
      <ns0:c r="A5" s="15" t="s">
        <ns0:v>190</ns0:v>
      </ns0:c>
      <ns0:c r="B5" s="15" t="s">
        <ns0:v>147</ns0:v>
      </ns0:c>
      <ns0:c r="C5" s="15" t="s">
        <ns0:v>191</ns0:v>
      </ns0:c>
      <ns0:c r="D5" s="15" t="s">
        <ns0:v>192</ns0:v>
      </ns0:c>
      <ns0:c r="E5" s="15" t="s">
        <ns0:v>193</ns0:v>
      </ns0:c>
    </ns0:row>
    <ns0:row r="6" ht="15" hidden="0" customHeight="1">
      <ns0:c r="A6" s="15" t="s">
        <ns0:v>194</ns0:v>
      </ns0:c>
      <ns0:c r="B6" s="15" t="s">
        <ns0:v>161</ns0:v>
      </ns0:c>
      <ns0:c r="C6" s="15" t="s">
        <ns0:v>195</ns0:v>
      </ns0:c>
      <ns0:c r="D6" s="15" t="s">
        <ns0:v>20</ns0:v>
      </ns0:c>
      <ns0:c r="E6" s="15" t="s">
        <ns0:v>182</ns0:v>
      </ns0:c>
    </ns0:row>
    <ns0:row r="7" ht="26.399999618530273" hidden="0" customHeight="1">
      <ns0:c r="A7" s="15" t="s">
        <ns0:v>196</ns0:v>
      </ns0:c>
      <ns0:c r="B7" s="15" t="s">
        <ns0:v>161</ns0:v>
      </ns0:c>
      <ns0:c r="C7" s="15" t="str">
        <ns0:v>Pagamentos de juros em dia (WEB-B10-011); rating AAA reafirmado (F0125, jul/2026 – posterior)</ns0:v>
      </ns0:c>
      <ns0:c r="D7" s="15" t="s">
        <ns0:v>197</ns0:v>
      </ns0:c>
      <ns0:c r="E7" s="15" t="s">
        <ns0:v>182</ns0:v>
      </ns0:c>
    </ns0:row>
    <ns0:row r="8" ht="26.399999618530273" hidden="0" customHeight="1">
      <ns0:c r="A8" s="15" t="s">
        <ns0:v>198</ns0:v>
      </ns0:c>
      <ns0:c r="B8" s="15" t="s">
        <ns0:v>147</ns0:v>
      </ns0:c>
      <ns0:c r="C8" s="15" t="s">
        <ns0:v>199</ns0:v>
      </ns0:c>
      <ns0:c r="D8" s="15" t="s">
        <ns0:v>200</ns0:v>
      </ns0:c>
      <ns0:c r="E8" s="15" t="s">
        <ns0:v>189</ns0:v>
      </ns0:c>
    </ns0:row>
    <ns0:row r="9" ht="15" hidden="0" customHeight="1">
      <ns0:c r="A9" s="15" t="s">
        <ns0:v>201</ns0:v>
      </ns0:c>
      <ns0:c r="B9" s="15" t="s">
        <ns0:v>202</ns0:v>
      </ns0:c>
      <ns0:c r="C9" s="15" t="s">
        <ns0:v>203</ns0:v>
      </ns0:c>
      <ns0:c r="D9" s="15" t="s">
        <ns0:v>204</ns0:v>
      </ns0:c>
      <ns0:c r="E9" s="15" t="s">
        <ns0:v>189</ns0:v>
      </ns0:c>
    </ns0:row>
    <ns0:row r="10" ht="15" hidden="0" customHeight="1">
      <ns0:c r="A10" s="15" t="s">
        <ns0:v>205</ns0:v>
      </ns0:c>
      <ns0:c r="B10" s="15" t="s">
        <ns0:v>161</ns0:v>
      </ns0:c>
      <ns0:c r="C10" s="15" t="s">
        <ns0:v>206</ns0:v>
      </ns0:c>
      <ns0:c r="D10" s="15" t="s">
        <ns0:v>20</ns0:v>
      </ns0:c>
      <ns0:c r="E10" s="15" t="s">
        <ns0:v>182</ns0:v>
      </ns0:c>
    </ns0:row>
    <ns0:row r="11" ht="15" hidden="0" customHeight="1">
      <ns0:c r="A11" s="21"/>
      <ns0:c r="B11" s="21"/>
      <ns0:c r="C11" s="21"/>
      <ns0:c r="D11" s="21"/>
      <ns0:c r="E11" s="21"/>
    </ns0:row>
    <ns0:row r="12" ht="15" hidden="0" customHeight="1">
      <ns0:c r="A12" s="15" t="s">
        <ns0:v>207</ns0:v>
      </ns0:c>
      <ns0:c r="B12" s="15">
        <ns0:f aca="0">COUNTIF(B2:B10,"Sim")+COUNTIF(B2:B10,"Em parte")</ns0:f>
        <ns0:v>4</ns0:v>
      </ns0:c>
      <ns0:c r="C12" s="21"/>
      <ns0:c r="D12" s="21"/>
      <ns0:c r="E12" s="21"/>
    </ns0:row>
  </ns0:sheetData>
  <ns0:pageMargins left="0.7" right="0.7" top="0.75" bottom="0.75" header="0.3" footer="0.3"/>
</ns0:worksheet>
</file>

<file path=xl/worksheets/sheet9.xml><?xml version="1.0" encoding="utf-8"?>
<ns0:worksheet xmlns:ns0="http://schemas.openxmlformats.org/spreadsheetml/2006/main">
  <ns0:sheetViews>
    <ns0:sheetView showGridLines="1" workbookViewId="0">
      <ns0:pane ySplit="1" topLeftCell="A2" activePane="bottomLeft" state="frozen"/>
    </ns0:sheetView>
  </ns0:sheetViews>
  <ns0:sheetFormatPr defaultColWidth="8.6796875" defaultRowHeight="15"/>
  <ns0:cols>
    <ns0:col min="1" max="1" width="60" hidden="0" customWidth="1"/>
    <ns0:col min="2" max="2" width="16" hidden="0" customWidth="1"/>
    <ns0:col min="3" max="3" width="30" hidden="0" customWidth="1"/>
    <ns0:col min="4" max="4" width="60" hidden="0" customWidth="1"/>
  </ns0:cols>
  <ns0:sheetData>
    <ns0:row r="1" ht="15" hidden="0" customHeight="1">
      <ns0:c r="A1" s="14" t="s">
        <ns0:v>208</ns0:v>
      </ns0:c>
      <ns0:c r="B1" s="14" t="s">
        <ns0:v>89</ns0:v>
      </ns0:c>
      <ns0:c r="C1" s="14" t="s">
        <ns0:v>209</ns0:v>
      </ns0:c>
      <ns0:c r="D1" s="14" t="s">
        <ns0:v>65</ns0:v>
      </ns0:c>
    </ns0:row>
    <ns0:row r="2" ht="26.399999618530273" hidden="0" customHeight="1">
      <ns0:c r="A2" s="15" t="s">
        <ns0:v>210</ns0:v>
      </ns0:c>
      <ns0:c r="B2" s="15"/>
      <ns0:c r="C2" s="15" t="s">
        <ns0:v>211</ns0:v>
      </ns0:c>
      <ns0:c r="D2" s="15" t="s">
        <ns0:v>212</ns0:v>
      </ns0:c>
    </ns0:row>
    <ns0:row r="3" ht="15" hidden="0" customHeight="1">
      <ns0:c r="A3" s="15" t="s">
        <ns0:v>213</ns0:v>
      </ns0:c>
      <ns0:c r="B3" s="18">
        <ns0:f aca="0">Covenants!B4</ns0:f>
        <ns0:v>681782</ns0:v>
      </ns0:c>
      <ns0:c r="C3" s="15" t="s">
        <ns0:v>107</ns0:v>
      </ns0:c>
      <ns0:c r="D3" s="21"/>
    </ns0:row>
    <ns0:row r="4" ht="15" hidden="0" customHeight="1">
      <ns0:c r="A4" s="15" t="s">
        <ns0:v>214</ns0:v>
      </ns0:c>
      <ns0:c r="B4" s="18">
        <ns0:f aca="0">Covenants!B17</ns0:f>
        <ns0:v>15192514</ns0:v>
      </ns0:c>
      <ns0:c r="C4" s="15" t="s">
        <ns0:v>215</ns0:v>
      </ns0:c>
      <ns0:c r="D4" s="21"/>
    </ns0:row>
    <ns0:row r="5" ht="15" hidden="0" customHeight="1">
      <ns0:c r="A5" s="15" t="s">
        <ns0:v>216</ns0:v>
      </ns0:c>
      <ns0:c r="B5" s="18">
        <ns0:f aca="0">B3+B4</ns0:f>
        <ns0:v>15874296</ns0:v>
      </ns0:c>
      <ns0:c r="C5" s="15"/>
      <ns0:c r="D5" s="21"/>
    </ns0:row>
    <ns0:row r="6" ht="15" hidden="0" customHeight="1">
      <ns0:c r="A6" s="15" t="s">
        <ns0:v>217</ns0:v>
      </ns0:c>
      <ns0:c r="B6" s="18">
        <ns0:f aca="0">Liquidez!B6+Liquidez!B11</ns0:f>
        <ns0:v>4164986</ns0:v>
      </ns0:c>
      <ns0:c r="C6" s="15"/>
      <ns0:c r="D6" s="21"/>
    </ns0:row>
    <ns0:row r="7" ht="26.399999618530273" hidden="0" customHeight="1">
      <ns0:c r="A7" s="15" t="s">
        <ns0:v>218</ns0:v>
      </ns0:c>
      <ns0:c r="B7" s="18">
        <ns0:f aca="0">B6-B5</ns0:f>
        <ns0:v>-11709310</ns0:v>
      </ns0:c>
      <ns0:c r="C7" s="15"/>
      <ns0:c r="D7" s="15" t="s">
        <ns0:v>219</ns0:v>
      </ns0:c>
    </ns0:row>
    <ns0:row r="8" ht="15" hidden="0" customHeight="1">
      <ns0:c r="A8" s="21"/>
      <ns0:c r="B8" s="21"/>
      <ns0:c r="C8" s="21"/>
      <ns0:c r="D8" s="21"/>
    </ns0:row>
    <ns0:row r="9" ht="26.399999618530273" hidden="0" customHeight="1">
      <ns0:c r="A9" s="15" t="s">
        <ns0:v>220</ns0:v>
      </ns0:c>
      <ns0:c r="B9" s="15" t="s">
        <ns0:v>221</ns0:v>
      </ns0:c>
      <ns0:c r="C9" s="15" t="s">
        <ns0:v>222</ns0:v>
      </ns0:c>
      <ns0:c r="D9" s="15" t="str">
        <ns0:v>Anuência formal + comunicado ao mercado (WEB-B10-014) + nenhuma declaração posterior até 21/10/2026; confirmação externa necessária [PA]</ns0:v>
      </ns0:c>
    </ns0:row>
  </ns0:sheetData>
  <ns0:pageMargins left="0.7" right="0.7" top="0.75" bottom="0.75" header="0.3" footer="0.3"/>
</ns0:worksheet>
</file>