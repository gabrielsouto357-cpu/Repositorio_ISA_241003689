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db8fdc29f643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" sheetId="1" r:id="R1a52b9a427824082"/>
    <x:sheet xmlns:r="http://schemas.openxmlformats.org/officeDocument/2006/relationships" name="Populacao" sheetId="2" r:id="Rbcf68f1d20574df6"/>
    <x:sheet xmlns:r="http://schemas.openxmlformats.org/officeDocument/2006/relationships" name="Selecao" sheetId="3" r:id="R2252bf65f06e4810"/>
    <x:sheet xmlns:r="http://schemas.openxmlformats.org/officeDocument/2006/relationships" name="Controle" sheetId="4" r:id="R6f85f9220548426a"/>
    <x:sheet xmlns:r="http://schemas.openxmlformats.org/officeDocument/2006/relationships" name="Diferencas" sheetId="5" r:id="R774fdd708dea41f0"/>
    <x:sheet xmlns:r="http://schemas.openxmlformats.org/officeDocument/2006/relationships" name="Nao_resposta_alternativos" sheetId="6" r:id="Ref111c0fc609499e"/>
    <x:sheet xmlns:r="http://schemas.openxmlformats.org/officeDocument/2006/relationships" name="Recusa_adm" sheetId="7" r:id="R7031f2c134164ed7"/>
  </x:sheets>
</x:workbook>
</file>

<file path=xl/sharedStrings.xml><?xml version="1.0" encoding="utf-8"?>
<x:sst xmlns:x="http://schemas.openxmlformats.org/spreadsheetml/2006/main">
  <x:si>
    <x:t xml:space="preserve">PT 505 – Confirmações externas: população, seleção, controle de circularização, diferenças, não respostas e alternativos (DIDÁTICO)</x:t>
  </x:si>
  <x:si>
    <x:t xml:space="preserve">TODOS OS MODELOS SÃO "NÃO ENVIADOS". Nenhuma solicitação foi enviada; nenhuma resposta foi recebida; nenhum destinatário pessoal foi indicado.</x:t>
  </x:si>
  <x:si>
    <x:t xml:space="preserve">As colunas de envio, resposta e saldo confirmado estão EM BRANCO de propósito (não inventar). As fórmulas de diferença ficam vazias até haver resposta real.</x:t>
  </x:si>
  <x:si>
    <x:t xml:space="preserve">Controle do auditor (505 it. 7): o auditor decide o que confirmar, seleciona a parte, prepara/endereça e envia; as respostas voltam DIRETAMENTE ao auditor.</x:t>
  </x:si>
  <x:si>
    <x:t xml:space="preserve">Data de corte da pesquisa: 21/10/2026, 18h29 (Brasília) – RI, CVM (RAD, entregas até 21/10/2026) e fontes listadas. A atualizar na revisão final (P48).</x:t>
  </x:si>
  <x:si>
    <x:t xml:space="preserve">Células amarelas = dados transcritos (fonte e página na coluna própria) ou premissas; demais = fórmulas.</x:t>
  </x:si>
  <x:si>
    <x:t xml:space="preserve">Modalidades: [RP] realizado com evidência pública; [PA] planejado/não executável sem acesso; [SD] simulado didático.</x:t>
  </x:si>
  <x:si>
    <x:t xml:space="preserve">Preparado por: matrícula 241003689 (execução assistida por IA) em 21/10/2026. Revisão humana: ____________ (em branco).</x:t>
  </x:si>
  <x:si>
    <x:t xml:space="preserve">Grupo</x:t>
  </x:si>
  <x:si>
    <x:t xml:space="preserve">Item</x:t>
  </x:si>
  <x:si>
    <x:t xml:space="preserve">Saldo 31/12/2025 (consolidado)</x:t>
  </x:si>
  <x:si>
    <x:t xml:space="preserve">Fonte</x:t>
  </x:si>
  <x:si>
    <x:t xml:space="preserve">Parte que confirma (categoria – sem nome de pessoa)</x:t>
  </x:si>
  <x:si>
    <x:t xml:space="preserve">Observação</x:t>
  </x:si>
  <x:si>
    <x:t xml:space="preserve">Debêntures</x:t>
  </x:si>
  <x:si>
    <x:t xml:space="preserve">8ª</x:t>
  </x:si>
  <x:si>
    <x:t xml:space="preserve">F0003 p.49–50</x:t>
  </x:si>
  <x:si>
    <x:t xml:space="preserve">Agente fiduciário da emissão; escriturador/B3 (posição)</x:t>
  </x:si>
  <x:si>
    <x:t xml:space="preserve">Saldo a custo amortizado: confirmar termos e principal; recalcular juros</x:t>
  </x:si>
  <x:si>
    <x:t xml:space="preserve">9ª – 1ª série</x:t>
  </x:si>
  <x:si>
    <x:t xml:space="preserve">9ª – 2ª série</x:t>
  </x:si>
  <x:si>
    <x:t xml:space="preserve">10ª</x:t>
  </x:si>
  <x:si>
    <x:t xml:space="preserve">11ª – 1ª série</x:t>
  </x:si>
  <x:si>
    <x:t xml:space="preserve">11ª – 2ª série</x:t>
  </x:si>
  <x:si>
    <x:t xml:space="preserve">13ª</x:t>
  </x:si>
  <x:si>
    <x:t xml:space="preserve">14ª – 1ª série</x:t>
  </x:si>
  <x:si>
    <x:t xml:space="preserve">14ª – 2ª série</x:t>
  </x:si>
  <x:si>
    <x:t xml:space="preserve">15ª – 1ª série</x:t>
  </x:si>
  <x:si>
    <x:t xml:space="preserve">15ª – 2ª série</x:t>
  </x:si>
  <x:si>
    <x:t xml:space="preserve">15ª – 3ª série</x:t>
  </x:si>
  <x:si>
    <x:t xml:space="preserve">16ª</x:t>
  </x:si>
  <x:si>
    <x:t xml:space="preserve">17ª – 1ª série</x:t>
  </x:si>
  <x:si>
    <x:t xml:space="preserve">17ª – 2ª série</x:t>
  </x:si>
  <x:si>
    <x:t xml:space="preserve">18ª – 1ª série</x:t>
  </x:si>
  <x:si>
    <x:t xml:space="preserve">18ª – 2ª série</x:t>
  </x:si>
  <x:si>
    <x:t xml:space="preserve">19ª</x:t>
  </x:si>
  <x:si>
    <x:t xml:space="preserve">20ª – 1ª série</x:t>
  </x:si>
  <x:si>
    <x:t xml:space="preserve">20ª – 2ª série</x:t>
  </x:si>
  <x:si>
    <x:t xml:space="preserve">Total recalculado</x:t>
  </x:si>
  <x:si>
    <x:t xml:space="preserve">Fórmula</x:t>
  </x:si>
  <x:si>
    <x:t xml:space="preserve">Deve ser 15.192.514</x:t>
  </x:si>
  <x:si>
    <x:t xml:space="preserve">Total publicado</x:t>
  </x:si>
  <x:si>
    <x:t xml:space="preserve">F0003 p.50</x:t>
  </x:si>
  <x:si>
    <x:t xml:space="preserve">Diferença</x:t>
  </x:si>
  <x:si>
    <x:t xml:space="preserve">Deve ser 0</x:t>
  </x:si>
  <x:si>
    <x:t xml:space="preserve">Empréstimos</x:t>
  </x:si>
  <x:si>
    <x:t xml:space="preserve">BNDES 13.2.1344.1 (duas parcelas)</x:t>
  </x:si>
  <x:si>
    <x:t xml:space="preserve">F0003 p.52</x:t>
  </x:si>
  <x:si>
    <x:t xml:space="preserve">BNDES (área de operações/contratos)</x:t>
  </x:si>
  <x:si>
    <x:t xml:space="preserve">*Número do contrato divergente entre p.52 (…0291.2) e p.54 (…0291.1) – P52</x:t>
  </x:si>
  <x:si>
    <x:t xml:space="preserve">BNDES 17.2.0291.2 (duas parcelas)*</x:t>
  </x:si>
  <x:si>
    <x:t xml:space="preserve">BNDES 21.2.0416.1</x:t>
  </x:si>
  <x:si>
    <x:t xml:space="preserve">BNB – IENNE</x:t>
  </x:si>
  <x:si>
    <x:t xml:space="preserve">Banco do Nordeste (área de operações/contratos)</x:t>
  </x:si>
  <x:si>
    <x:t xml:space="preserve">Deve ser 759.199</x:t>
  </x:si>
  <x:si>
    <x:t xml:space="preserve">F0003 p.48, 52</x:t>
  </x:si>
  <x:si>
    <x:t xml:space="preserve">Caixa/aplicações</x:t>
  </x:si>
  <x:si>
    <x:t xml:space="preserve">Caixa e bancos</x:t>
  </x:si>
  <x:si>
    <x:t xml:space="preserve">F0003 p.57</x:t>
  </x:si>
  <x:si>
    <x:t xml:space="preserve">Bancos com conta-corrente (lista a obter da administração)</x:t>
  </x:si>
  <x:si>
    <x:t xml:space="preserve">CDB (equivalentes de caixa)</x:t>
  </x:si>
  <x:si>
    <x:t xml:space="preserve">Bancos emissores dos CDB</x:t>
  </x:si>
  <x:si>
    <x:t xml:space="preserve">Fundo Bandeirantes Ref. DI</x:t>
  </x:si>
  <x:si>
    <x:t xml:space="preserve">Administrador/custodiante do fundo exclusivo</x:t>
  </x:si>
  <x:si>
    <x:t xml:space="preserve">Fundo Xavantes Ref. DI</x:t>
  </x:si>
  <x:si>
    <x:t xml:space="preserve">Idem</x:t>
  </x:si>
  <x:si>
    <x:t xml:space="preserve">Fundo Assis Ref. DI</x:t>
  </x:si>
  <x:si>
    <x:t xml:space="preserve">Fundo Barra Bonita Ref. DI</x:t>
  </x:si>
  <x:si>
    <x:t xml:space="preserve">Caixa restrito</x:t>
  </x:si>
  <x:si>
    <x:t xml:space="preserve">F0003 p.123</x:t>
  </x:si>
  <x:si>
    <x:t xml:space="preserve">Banco depositário da conta reserva</x:t>
  </x:si>
  <x:si>
    <x:t xml:space="preserve">Partes relacionadas</x:t>
  </x:si>
  <x:si>
    <x:t xml:space="preserve">IE Madeira (JV)</x:t>
  </x:si>
  <x:si>
    <x:t xml:space="preserve">F0003 p.109</x:t>
  </x:si>
  <x:si>
    <x:t xml:space="preserve">Administração da JV (controle conjunto)</x:t>
  </x:si>
  <x:si>
    <x:t xml:space="preserve">Créditos da controladora (nota 22); PT 550</x:t>
  </x:si>
  <x:si>
    <x:t xml:space="preserve">IE Ivaí (JV)</x:t>
  </x:si>
  <x:si>
    <x:t xml:space="preserve">IE Garanhuns (JV)</x:t>
  </x:si>
  <x:si>
    <x:t xml:space="preserve">Advogados</x:t>
  </x:si>
  <x:si>
    <x:t xml:space="preserve">Provisões (163.035) + possíveis (898.296) + remotos relevantes + Lei 4.819 (ativo)</x:t>
  </x:si>
  <x:si>
    <x:t xml:space="preserve">F0003 p.85–91</x:t>
  </x:si>
  <x:si>
    <x:t xml:space="preserve">Escritórios externos responsáveis (lista a obter)</x:t>
  </x:si>
  <x:si>
    <x:t xml:space="preserve">Carta de indagação – NBC TA 501 it. 10</x:t>
  </x:si>
  <x:si>
    <x:t xml:space="preserve">Garantias</x:t>
  </x:si>
  <x:si>
    <x:t xml:space="preserve">Fianças/garantias a controladas e JVs (IENNE, Madeira, Garanhuns, Ivaí)</x:t>
  </x:si>
  <x:si>
    <x:t xml:space="preserve">F0003 p.54</x:t>
  </x:si>
  <x:si>
    <x:t xml:space="preserve">Bancos/credores beneficiários</x:t>
  </x:si>
  <x:si>
    <x:t xml:space="preserve">Soma 77.417 + 105.963 + 240.400 + 29.931 + 1.141.477; confirmar existência e limites</x:t>
  </x:si>
  <x:si>
    <x:t xml:space="preserve">Receita/recebíveis</x:t>
  </x:si>
  <x:si>
    <x:t xml:space="preserve">Faturamento de uso da rede (AVC) – ciclo 2025/26</x:t>
  </x:si>
  <x:si>
    <x:t xml:space="preserve">F0003 p.33, 36; REH 3.481/2025</x:t>
  </x:si>
  <x:si>
    <x:t xml:space="preserve">ONS (apuração e AVC)</x:t>
  </x:si>
  <x:si>
    <x:t xml:space="preserve">Confirmar montantes apurados por concessão; alternativa [RP]: RAP homologada pública</x:t>
  </x:si>
  <x:si>
    <x:t xml:space="preserve">Critério de seleção (julgamento – D-027)</x:t>
  </x:si>
  <x:si>
    <x:t xml:space="preserve">Tipo de solicitação</x:t>
  </x:si>
  <x:si>
    <x:t xml:space="preserve">Itens na população</x:t>
  </x:si>
  <x:si>
    <x:t xml:space="preserve">Itens selecionados</x:t>
  </x:si>
  <x:si>
    <x:t xml:space="preserve">Valor da população</x:t>
  </x:si>
  <x:si>
    <x:t xml:space="preserve">Valor selecionado</x:t>
  </x:si>
  <x:si>
    <x:t xml:space="preserve">Cobertura</x:t>
  </x:si>
  <x:si>
    <x:t xml:space="preserve">Justificativa</x:t>
  </x:si>
  <x:si>
    <x:t xml:space="preserve">100% das séries (R06 Alto; poucos itens; termos e eventos de vencimento antecipado)</x:t>
  </x:si>
  <x:si>
    <x:t xml:space="preserve">Positiva – em branco p/ principal</x:t>
  </x:si>
  <x:si>
    <x:t xml:space="preserve">Saldo ≫ ME; cláusulas de vencimento antecipado cruzado (PT 570)</x:t>
  </x:si>
  <x:si>
    <x:t xml:space="preserve">100% dos contratos; pedir também a anuência de nov/2025 e a ausência de declaração de vencimento antecipado</x:t>
  </x:si>
  <x:si>
    <x:t xml:space="preserve">Positiva</x:t>
  </x:si>
  <x:si>
    <x:t xml:space="preserve">Covenant acima do limite em 2025 (F0003 p.54)</x:t>
  </x:si>
  <x:si>
    <x:t xml:space="preserve">100% das instituições com saldo ou relacionamento no ano (inclui contas zeradas/encerradas)</x:t>
  </x:si>
  <x:si>
    <x:t xml:space="preserve">Positiva – formulário bancário</x:t>
  </x:si>
  <x:si>
    <x:t xml:space="preserve">Confirma saldos, garantias, linhas (2.000.000 não utilizada) e acordos paralelos</x:t>
  </x:si>
  <x:si>
    <x:t xml:space="preserve">Saldos ≥ CT (7.000)</x:t>
  </x:si>
  <x:si>
    <x:t xml:space="preserve">R11; complementar com PT 550</x:t>
  </x:si>
  <x:si>
    <x:t xml:space="preserve">Todos os escritórios com processos provisionados, possíveis ≥ CT ou remotos ≥ ME</x:t>
  </x:si>
  <x:si>
    <x:t xml:space="preserve">Carta de indagação (501)</x:t>
  </x:si>
  <x:si>
    <x:t xml:space="preserve">Não há alternativa equivalente (501 it. 11)</x:t>
  </x:si>
  <x:si>
    <x:t xml:space="preserve">100% das garantias divulgadas</x:t>
  </x:si>
  <x:si>
    <x:t xml:space="preserve">Passivo contingente/compromisso</x:t>
  </x:si>
  <x:si>
    <x:t xml:space="preserve">Imprevisibilidade</x:t>
  </x:si>
  <x:si>
    <x:t xml:space="preserve">1 item abaixo do CT escolhido sem critério divulgado (ex.: conta bancária de menor saldo)</x:t>
  </x:si>
  <x:si>
    <x:t xml:space="preserve">NBC TA 240 – elemento de imprevisibilidade</x:t>
  </x:si>
  <x:si>
    <x:t xml:space="preserve">Confirmações negativas</x:t>
  </x:si>
  <x:si>
    <x:t xml:space="preserve">Não usadas: 505 it. 15 exige risco baixo com controles testados, população homogênea de pequenos saldos e taxa de exceção baixa – nenhuma população aqui atende</x:t>
  </x:si>
  <x:si>
    <x:t xml:space="preserve">ID</x:t>
  </x:si>
  <x:si>
    <x:t xml:space="preserve">Modelo (minuta)</x:t>
  </x:si>
  <x:si>
    <x:t xml:space="preserve">Parte que confirma (categoria)</x:t>
  </x:si>
  <x:si>
    <x:t xml:space="preserve">Data-base</x:t>
  </x:si>
  <x:si>
    <x:t xml:space="preserve">Informação a confirmar</x:t>
  </x:si>
  <x:si>
    <x:t xml:space="preserve">Saldo/termo nos registros (R$ mil)</x:t>
  </x:si>
  <x:si>
    <x:t xml:space="preserve">Preparado por</x:t>
  </x:si>
  <x:si>
    <x:t xml:space="preserve">Endereço checado por (it. 7(c))</x:t>
  </x:si>
  <x:si>
    <x:t xml:space="preserve">Data de envio (it. 7(d))</x:t>
  </x:si>
  <x:si>
    <x:t xml:space="preserve">2º pedido</x:t>
  </x:si>
  <x:si>
    <x:t xml:space="preserve">Data da resposta</x:t>
  </x:si>
  <x:si>
    <x:t xml:space="preserve">Resposta recebida diretamente pelo auditor?</x:t>
  </x:si>
  <x:si>
    <x:t xml:space="preserve">Saldo/termo confirmado</x:t>
  </x:si>
  <x:si>
    <x:t xml:space="preserve">Situação</x:t>
  </x:si>
  <x:si>
    <x:t xml:space="preserve">C01</x:t>
  </x:si>
  <x:si>
    <x:t xml:space="preserve">M505-01</x:t>
  </x:si>
  <x:si>
    <x:t xml:space="preserve">Bancos com conta/CDB/linha</x:t>
  </x:si>
  <x:si>
    <x:t xml:space="preserve">Saldos, CDB, garantias, linhas de crédito, assinaturas autorizadas, acordos paralelos</x:t>
  </x:si>
  <x:si>
    <x:t xml:space="preserve">Preparador (matrícula 241003689)</x:t>
  </x:si>
  <x:si>
    <x:t xml:space="preserve">MODELO NÃO ENVIADO</x:t>
  </x:si>
  <x:si>
    <x:t xml:space="preserve">C02</x:t>
  </x:si>
  <x:si>
    <x:t xml:space="preserve">M505-02</x:t>
  </x:si>
  <x:si>
    <x:t xml:space="preserve">Administradores dos 4 fundos exclusivos</x:t>
  </x:si>
  <x:si>
    <x:t xml:space="preserve">Cotas, valor da cota e composição da carteira</x:t>
  </x:si>
  <x:si>
    <x:t xml:space="preserve">C03</x:t>
  </x:si>
  <x:si>
    <x:t xml:space="preserve">M505-03</x:t>
  </x:si>
  <x:si>
    <x:t xml:space="preserve">Agente(s) fiduciário(s) das emissões</x:t>
  </x:si>
  <x:si>
    <x:t xml:space="preserve">Séries, principal, datas, eventos de vencimento antecipado declarados ou não</x:t>
  </x:si>
  <x:si>
    <x:t xml:space="preserve">C04</x:t>
  </x:si>
  <x:si>
    <x:t xml:space="preserve">M505-05</x:t>
  </x:si>
  <x:si>
    <x:t xml:space="preserve">BNDES</x:t>
  </x:si>
  <x:si>
    <x:t xml:space="preserve">3 contratos: saldo, anuência de nov/2025, apuração de 2025, ausência de declaração de vencimento antecipado</x:t>
  </x:si>
  <x:si>
    <x:t xml:space="preserve">C05</x:t>
  </x:si>
  <x:si>
    <x:t xml:space="preserve">Banco do Nordeste (IENNE)</x:t>
  </x:si>
  <x:si>
    <x:t xml:space="preserve">Saldo, conta reserva, garantias</x:t>
  </x:si>
  <x:si>
    <x:t xml:space="preserve">C06</x:t>
  </x:si>
  <x:si>
    <x:t xml:space="preserve">M505-04</x:t>
  </x:si>
  <x:si>
    <x:t xml:space="preserve">Escritórios externos (cada um)</x:t>
  </x:si>
  <x:si>
    <x:t xml:space="preserve">Lista de processos, avaliação de probabilidade e valor; processos novos até a data da resposta</x:t>
  </x:si>
  <x:si>
    <x:t xml:space="preserve">C07</x:t>
  </x:si>
  <x:si>
    <x:t xml:space="preserve">M505-06</x:t>
  </x:si>
  <x:si>
    <x:t xml:space="preserve">IE Madeira / IE Ivaí / IE Garanhuns</x:t>
  </x:si>
  <x:si>
    <x:t xml:space="preserve">Saldos a receber/pagar e transações</x:t>
  </x:si>
  <x:si>
    <x:t xml:space="preserve">C08</x:t>
  </x:si>
  <x:si>
    <x:t xml:space="preserve">M505-07</x:t>
  </x:si>
  <x:si>
    <x:t xml:space="preserve">ONS</x:t>
  </x:si>
  <x:si>
    <x:t xml:space="preserve">AVC por concessão e encargos do ciclo</x:t>
  </x:si>
  <x:si>
    <x:t xml:space="preserve">C09</x:t>
  </x:si>
  <x:si>
    <x:t xml:space="preserve">Bancos/credores beneficiários das garantias</x:t>
  </x:si>
  <x:si>
    <x:t xml:space="preserve">Existência, valor e vigência das garantias</x:t>
  </x:si>
  <x:si>
    <x:t xml:space="preserve">Total</x:t>
  </x:si>
  <x:si>
    <x:t xml:space="preserve">Solicitações enviadas</x:t>
  </x:si>
  <x:si>
    <x:t xml:space="preserve">Respostas recebidas</x:t>
  </x:si>
  <x:si>
    <x:t xml:space="preserve">Saldo nos registros</x:t>
  </x:si>
  <x:si>
    <x:t xml:space="preserve">Saldo confirmado</x:t>
  </x:si>
  <x:si>
    <x:t xml:space="preserve">Causa (classificar)</x:t>
  </x:si>
  <x:si>
    <x:t xml:space="preserve">Evidência da investigação (it. 14)</x:t>
  </x:si>
  <x:si>
    <x:t xml:space="preserve">Distorção?</x:t>
  </x:si>
  <x:si>
    <x:t xml:space="preserve">Projeção/efeito (PT 450)</x:t>
  </x:si>
  <x:si>
    <x:t xml:space="preserve">(vazio)</x:t>
  </x:si>
  <x:si>
    <x:t xml:space="preserve">Classes: (a) item em trânsito/corte; (b) erro da entidade; (c) erro da parte; (d) disputa; (e) fraude – escalar (240)</x:t>
  </x:si>
  <x:si>
    <x:t xml:space="preserve">Nenhuma diferença registrada: não há respostas (modelos não enviados)</x:t>
  </x:si>
  <x:si>
    <x:t xml:space="preserve">Procedimento alternativo (505 it. 12, A18–A19)</x:t>
  </x:si>
  <x:si>
    <x:t xml:space="preserve">Resposta positiva indispensável? (it. 13)</x:t>
  </x:si>
  <x:si>
    <x:t xml:space="preserve">Modalidade hoje</x:t>
  </x:si>
  <x:si>
    <x:t xml:space="preserve">Bancos/aplicações</x:t>
  </x:si>
  <x:si>
    <x:t xml:space="preserve">Extratos obtidos pelo auditor diretamente no internet banking em sua presença; conciliações; recebimentos/pagamentos subsequentes; posição de custódia (CETIP/B3)</x:t>
  </x:si>
  <x:si>
    <x:t xml:space="preserve">Sim para garantias e acordos paralelos (A20) – sem resposta, avaliar opinião</x:t>
  </x:si>
  <x:si>
    <x:t xml:space="preserve">[PA]</x:t>
  </x:si>
  <x:si>
    <x:t xml:space="preserve">Fundos exclusivos</x:t>
  </x:si>
  <x:si>
    <x:t xml:space="preserve">Extratos e demonstrações auditadas dos fundos; cota divulgada; carteira na CVM</x:t>
  </x:si>
  <x:si>
    <x:t xml:space="preserve">Não</x:t>
  </x:si>
  <x:si>
    <x:t xml:space="preserve">[PA]; cotas públicas [RP] parcial</x:t>
  </x:si>
  <x:si>
    <x:t xml:space="preserve">Escrituras (lidas: F0200, F0202, F0204, F0206, F0219, F0220, F0230, F0232); pagamentos no extrato; avisos aos debenturistas (públicos); relatórios anuais do agente fiduciário (CVM, 30/04/2026)</x:t>
  </x:si>
  <x:si>
    <x:t xml:space="preserve">[RP] parcial (termos e cláusulas lidos)</x:t>
  </x:si>
  <x:si>
    <x:t xml:space="preserve">BNDES/BNB</x:t>
  </x:si>
  <x:si>
    <x:t xml:space="preserve">Sim para a anuência (renúncia a vencimento antecipado) – documento do credor</x:t>
  </x:si>
  <x:si>
    <x:t xml:space="preserve">[RP] parcial (comunicado público)</x:t>
  </x:si>
  <x:si>
    <x:t xml:space="preserve">Reunião com advogados (com permissão); leitura de processos em sistemas públicos dos tribunais; sem alternativa equivalente → 501 it. 11</x:t>
  </x:si>
  <x:si>
    <x:t xml:space="preserve">Sim</x:t>
  </x:si>
  <x:si>
    <x:t xml:space="preserve">Livros das JVs; DFs auditadas das JVs; atas</x:t>
  </x:si>
  <x:si>
    <x:t xml:space="preserve">REH de RAP (pública) + AVC mensais + recebimentos no extrato</x:t>
  </x:si>
  <x:si>
    <x:t xml:space="preserve">[RP] parcial (RAP homologada)</x:t>
  </x:si>
  <x:si>
    <x:t xml:space="preserve">Passo (505 it. 8–9)</x:t>
  </x:si>
  <x:si>
    <x:t xml:space="preserve">O que fazer</x:t>
  </x:si>
  <x:si>
    <x:t xml:space="preserve">Evidência</x:t>
  </x:si>
  <x:si>
    <x:t xml:space="preserve">8(a)</x:t>
  </x:si>
  <x:si>
    <x:t xml:space="preserve">Indagar as razões da recusa e buscar evidência de validade (ex.: litígio com o banco)</x:t>
  </x:si>
  <x:si>
    <x:t xml:space="preserve">Memorando</x:t>
  </x:si>
  <x:si>
    <x:t xml:space="preserve">8(b)</x:t>
  </x:si>
  <x:si>
    <x:t xml:space="preserve">Reavaliar riscos significativos, inclusive fraude (240), e ajustar natureza/época/extensão</x:t>
  </x:si>
  <x:si>
    <x:t xml:space="preserve">PT 315/330</x:t>
  </x:si>
  <x:si>
    <x:t xml:space="preserve">8(c)</x:t>
  </x:si>
  <x:si>
    <x:t xml:space="preserve">Executar procedimentos alternativos desenhados para a mesma afirmação</x:t>
  </x:si>
  <x:si>
    <x:t xml:space="preserve">Aba anterior</x:t>
  </x:si>
  <x:si>
    <x:t xml:space="preserve">9</x:t>
  </x:si>
  <x:si>
    <x:t xml:space="preserve">Recusa não razoável ou sem evidência alternativa: comunicar a governança (260 it. 16) e avaliar a opinião (705)</x:t>
  </x:si>
  <x:si>
    <x:t xml:space="preserve">PT 260/700</x:t>
  </x:si>
</x:sst>
</file>

<file path=xl/styles.xml><?xml version="1.0" encoding="utf-8"?>
<x:styleSheet xmlns:x="http://schemas.openxmlformats.org/spreadsheetml/2006/main">
  <x:numFmts count="4">
    <x:numFmt numFmtId="164" formatCode="General"/>
    <x:numFmt numFmtId="165" formatCode="#,##0;[RED]\-#,##0"/>
    <x:numFmt numFmtId="166" formatCode="0.0%"/>
    <x:numFmt numFmtId="167" formatCode="dd/mm/yyyy"/>
  </x:numFmts>
  <x:fonts count="7">
    <x:font>
      <x:sz val="11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name val="Cambria"/>
    </x:font>
    <x:font>
      <x:sz val="11"/>
      <x:name val="Cambria"/>
    </x:font>
    <x:font>
      <x:b/>
      <x:sz val="11"/>
      <x:color rgb="FFFFFFFF"/>
      <x:name val="Cambria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FF2CC"/>
      </x:patternFill>
    </x:fill>
    <x:fill>
      <x:patternFill patternType="solid">
        <x:fgColor rgb="FFF8CBAD"/>
      </x:patternFill>
    </x:fill>
  </x:fills>
  <x:borders count="1">
    <x:border diagonalUp="0" diagonalDown="0">
      <x:left/>
      <x:right/>
      <x:top/>
      <x:bottom/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2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4" fillId="0" borderId="0" xfId="0" applyFont="1" applyBorder="0" applyAlignment="1" applyProtection="0">
      <x:alignment horizontal="general" vertical="bottom" wrapText="1" shrinkToFit="0"/>
      <x:protection locked="1" hidden="0"/>
    </x:xf>
    <x:xf numFmtId="164" fontId="5" fillId="0" borderId="0" xfId="0" applyFont="1" applyBorder="0" applyAlignment="1" applyProtection="0">
      <x:alignment horizontal="general" vertical="bottom" wrapText="1" shrinkToFit="0"/>
      <x:protection locked="1" hidden="0"/>
    </x:xf>
    <x:xf numFmtId="164" fontId="6" fillId="2" borderId="0" xfId="0" applyFont="1" applyBorder="0" applyAlignment="1" applyProtection="0">
      <x:alignment horizontal="general" vertical="top" wrapText="1" shrinkToFit="0"/>
      <x:protection locked="1" hidden="0"/>
    </x:xf>
    <x:xf numFmtId="164" fontId="0" fillId="0" borderId="0" xfId="0" applyFont="1" applyBorder="0" applyAlignment="1" applyProtection="0">
      <x:alignment horizontal="general" vertical="top" wrapText="1" shrinkToFit="0"/>
      <x:protection locked="1" hidden="0"/>
    </x:xf>
    <x:xf numFmtId="165" fontId="0" fillId="3" borderId="0" xfId="0" applyFont="0" applyBorder="0" applyAlignment="1" applyProtection="0">
      <x:alignment horizontal="general" vertical="top" wrapText="1" shrinkToFit="0"/>
      <x:protection locked="1" hidden="0"/>
    </x:xf>
    <x:xf numFmtId="165" fontId="0" fillId="0" borderId="0" xfId="0" applyFont="0" applyBorder="0" applyAlignment="1" applyProtection="0">
      <x:alignment horizontal="general" vertical="top" wrapText="1" shrinkToFit="0"/>
      <x:protection locked="1" hidden="0"/>
    </x:xf>
    <x:xf numFmtId="166" fontId="0" fillId="0" borderId="0" xfId="0" applyFont="0" applyBorder="0" applyAlignment="1" applyProtection="0">
      <x:alignment horizontal="general" vertical="top" wrapText="1" shrinkToFit="0"/>
      <x:protection locked="1" hidden="0"/>
    </x:xf>
    <x:xf numFmtId="167" fontId="0" fillId="0" borderId="0" xfId="0" applyFont="0" applyBorder="0" applyAlignment="1" applyProtection="0">
      <x:alignment horizontal="general" vertical="top" wrapText="1" shrinkToFit="0"/>
      <x:protection locked="1" hidden="0"/>
    </x:xf>
    <x:xf numFmtId="164" fontId="0" fillId="4" borderId="0" xfId="0" applyFont="1" applyBorder="0" applyAlignment="1" applyProtection="0">
      <x:alignment horizontal="general" vertical="top" wrapText="1" shrinkToFit="0"/>
      <x:protection locked="1" hidden="0"/>
    </x:xf>
    <x:xf numFmtId="164" fontId="6" fillId="2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top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8CBAD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ab2e0683db4e5b" /><Relationship Type="http://schemas.openxmlformats.org/officeDocument/2006/relationships/theme" Target="/xl/theme/theme1.xml" Id="R489ee539beb44e31" /><Relationship Type="http://schemas.openxmlformats.org/officeDocument/2006/relationships/sharedStrings" Target="/xl/sharedStrings.xml" Id="R1dd5f830da244ddb" /><Relationship Type="http://schemas.openxmlformats.org/officeDocument/2006/relationships/worksheet" Target="/xl/worksheets/sheet1.xml" Id="R1a52b9a427824082" /><Relationship Type="http://schemas.openxmlformats.org/officeDocument/2006/relationships/worksheet" Target="/xl/worksheets/sheet2.xml" Id="Rbcf68f1d20574df6" /><Relationship Type="http://schemas.openxmlformats.org/officeDocument/2006/relationships/worksheet" Target="/xl/worksheets/sheet3.xml" Id="R2252bf65f06e4810" /><Relationship Type="http://schemas.openxmlformats.org/officeDocument/2006/relationships/worksheet" Target="/xl/worksheets/sheet4.xml" Id="R6f85f9220548426a" /><Relationship Type="http://schemas.openxmlformats.org/officeDocument/2006/relationships/worksheet" Target="/xl/worksheets/sheet5.xml" Id="R774fdd708dea41f0" /><Relationship Type="http://schemas.openxmlformats.org/officeDocument/2006/relationships/worksheet" Target="/xl/worksheets/sheet6.xml" Id="Ref111c0fc609499e" /><Relationship Type="http://schemas.openxmlformats.org/officeDocument/2006/relationships/worksheet" Target="/xl/worksheets/sheet7.xml" Id="R7031f2c134164e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70" hidden="0" customWidth="1"/>
  </x:cols>
  <x:sheetData>
    <x:row r="1" ht="15" hidden="0">
      <x:c r="A1" s="1" t="s">
        <x:v>0</x:v>
      </x:c>
    </x:row>
    <x:row r="2" ht="15" hidden="0">
      <x:c r="A2" s="2" t="s">
        <x:v>1</x:v>
      </x:c>
    </x:row>
    <x:row r="3" ht="15" hidden="0">
      <x:c r="A3" s="2" t="s">
        <x:v>2</x:v>
      </x:c>
    </x:row>
    <x:row r="4" ht="15" hidden="0">
      <x:c r="A4" s="2" t="s">
        <x:v>3</x:v>
      </x:c>
    </x:row>
    <x:row r="5" ht="15" hidden="0">
      <x:c r="A5" s="2" t="s">
        <x:v>4</x:v>
      </x:c>
    </x:row>
    <x:row r="6" ht="15" hidden="0">
      <x:c r="A6" s="2" t="s">
        <x:v>5</x:v>
      </x:c>
    </x:row>
    <x:row r="7" ht="15" hidden="0">
      <x:c r="A7" s="2" t="s">
        <x:v>6</x:v>
      </x:c>
    </x:row>
    <x:row r="8" ht="15" hidden="0">
      <x:c r="A8" s="2" t="s">
        <x:v>7</x:v>
      </x:c>
    </x:row>
  </x:sheetData>
  <x:pageMargins left="0.7" right="0.7" top="0.75" bottom="0.75" header="0.3" footer="0.3"/>
</x:worksheet>
</file>

<file path=xl/worksheets/sheet2.xml><?xml version="1.0" encoding="utf-8"?>
<ns0:worksheet xmlns:ns0="http://schemas.openxmlformats.org/spreadsheetml/2006/main">
  <ns0:sheetViews>
    <ns0:sheetView showGridLines="1" workbookViewId="0">
      <ns0:pane ySplit="1" topLeftCell="A2" activePane="bottomLeft" state="frozen"/>
    </ns0:sheetView>
  </ns0:sheetViews>
  <ns0:sheetFormatPr defaultColWidth="8.6796875" defaultRowHeight="15"/>
  <ns0:cols>
    <ns0:col min="1" max="1" width="16" hidden="0" customWidth="1"/>
    <ns0:col min="2" max="2" width="34" hidden="0" customWidth="1"/>
    <ns0:col min="3" max="4" width="16" hidden="0" customWidth="1"/>
    <ns0:col min="5" max="5" width="40" hidden="0" customWidth="1"/>
    <ns0:col min="6" max="6" width="50" hidden="0" customWidth="1"/>
  </ns0:cols>
  <ns0:sheetData>
    <ns0:row r="1" ht="41.75" hidden="0">
      <ns0:c r="A1" s="3" t="s">
        <ns0:v>8</ns0:v>
      </ns0:c>
      <ns0:c r="B1" s="3" t="s">
        <ns0:v>9</ns0:v>
      </ns0:c>
      <ns0:c r="C1" s="3" t="s">
        <ns0:v>10</ns0:v>
      </ns0:c>
      <ns0:c r="D1" s="3" t="s">
        <ns0:v>11</ns0:v>
      </ns0:c>
      <ns0:c r="E1" s="3" t="s">
        <ns0:v>12</ns0:v>
      </ns0:c>
      <ns0:c r="F1" s="3" t="s">
        <ns0:v>13</ns0:v>
      </ns0:c>
    </ns0:row>
    <ns0:row r="2" ht="28.350000381469727" hidden="0">
      <ns0:c r="A2" s="4" t="s">
        <ns0:v>14</ns0:v>
      </ns0:c>
      <ns0:c r="B2" s="4" t="s">
        <ns0:v>15</ns0:v>
      </ns0:c>
      <ns0:c r="C2" s="5" t="n">
        <ns0:v>565011</ns0:v>
      </ns0:c>
      <ns0:c r="D2" s="4" t="s">
        <ns0:v>16</ns0:v>
      </ns0:c>
      <ns0:c r="E2" s="4" t="s">
        <ns0:v>17</ns0:v>
      </ns0:c>
      <ns0:c r="F2" s="4" t="s">
        <ns0:v>18</ns0:v>
      </ns0:c>
    </ns0:row>
    <ns0:row r="3" ht="28.350000381469727" hidden="0">
      <ns0:c r="A3" s="4" t="s">
        <ns0:v>14</ns0:v>
      </ns0:c>
      <ns0:c r="B3" s="4" t="s">
        <ns0:v>19</ns0:v>
      </ns0:c>
      <ns0:c r="C3" s="5" t="n">
        <ns0:v>812554</ns0:v>
      </ns0:c>
      <ns0:c r="D3" s="4" t="s">
        <ns0:v>16</ns0:v>
      </ns0:c>
      <ns0:c r="E3" s="4" t="s">
        <ns0:v>17</ns0:v>
      </ns0:c>
      <ns0:c r="F3" s="4" t="s">
        <ns0:v>18</ns0:v>
      </ns0:c>
    </ns0:row>
    <ns0:row r="4" ht="28.350000381469727" hidden="0">
      <ns0:c r="A4" s="4" t="s">
        <ns0:v>14</ns0:v>
      </ns0:c>
      <ns0:c r="B4" s="4" t="s">
        <ns0:v>20</ns0:v>
      </ns0:c>
      <ns0:c r="C4" s="5" t="n">
        <ns0:v>879623</ns0:v>
      </ns0:c>
      <ns0:c r="D4" s="4" t="s">
        <ns0:v>16</ns0:v>
      </ns0:c>
      <ns0:c r="E4" s="4" t="s">
        <ns0:v>17</ns0:v>
      </ns0:c>
      <ns0:c r="F4" s="4" t="s">
        <ns0:v>18</ns0:v>
      </ns0:c>
    </ns0:row>
    <ns0:row r="5" ht="28.350000381469727" hidden="0">
      <ns0:c r="A5" s="4" t="s">
        <ns0:v>14</ns0:v>
      </ns0:c>
      <ns0:c r="B5" s="4" t="s">
        <ns0:v>21</ns0:v>
      </ns0:c>
      <ns0:c r="C5" s="5" t="n">
        <ns0:v>943009</ns0:v>
      </ns0:c>
      <ns0:c r="D5" s="4" t="s">
        <ns0:v>16</ns0:v>
      </ns0:c>
      <ns0:c r="E5" s="4" t="s">
        <ns0:v>17</ns0:v>
      </ns0:c>
      <ns0:c r="F5" s="4" t="s">
        <ns0:v>18</ns0:v>
      </ns0:c>
    </ns0:row>
    <ns0:row r="6" ht="28.350000381469727" hidden="0">
      <ns0:c r="A6" s="4" t="s">
        <ns0:v>14</ns0:v>
      </ns0:c>
      <ns0:c r="B6" s="4" t="s">
        <ns0:v>22</ns0:v>
      </ns0:c>
      <ns0:c r="C6" s="5" t="n">
        <ns0:v>816345</ns0:v>
      </ns0:c>
      <ns0:c r="D6" s="4" t="s">
        <ns0:v>16</ns0:v>
      </ns0:c>
      <ns0:c r="E6" s="4" t="s">
        <ns0:v>17</ns0:v>
      </ns0:c>
      <ns0:c r="F6" s="4" t="s">
        <ns0:v>18</ns0:v>
      </ns0:c>
    </ns0:row>
    <ns0:row r="7" ht="28.350000381469727" hidden="0">
      <ns0:c r="A7" s="4" t="s">
        <ns0:v>14</ns0:v>
      </ns0:c>
      <ns0:c r="B7" s="4" t="s">
        <ns0:v>23</ns0:v>
      </ns0:c>
      <ns0:c r="C7" s="5" t="n">
        <ns0:v>335716</ns0:v>
      </ns0:c>
      <ns0:c r="D7" s="4" t="s">
        <ns0:v>16</ns0:v>
      </ns0:c>
      <ns0:c r="E7" s="4" t="s">
        <ns0:v>17</ns0:v>
      </ns0:c>
      <ns0:c r="F7" s="4" t="s">
        <ns0:v>18</ns0:v>
      </ns0:c>
    </ns0:row>
    <ns0:row r="8" ht="28.350000381469727" hidden="0">
      <ns0:c r="A8" s="4" t="s">
        <ns0:v>14</ns0:v>
      </ns0:c>
      <ns0:c r="B8" s="4" t="s">
        <ns0:v>24</ns0:v>
      </ns0:c>
      <ns0:c r="C8" s="5" t="n">
        <ns0:v>573691</ns0:v>
      </ns0:c>
      <ns0:c r="D8" s="4" t="s">
        <ns0:v>16</ns0:v>
      </ns0:c>
      <ns0:c r="E8" s="4" t="s">
        <ns0:v>17</ns0:v>
      </ns0:c>
      <ns0:c r="F8" s="4" t="s">
        <ns0:v>18</ns0:v>
      </ns0:c>
    </ns0:row>
    <ns0:row r="9" ht="28.350000381469727" hidden="0">
      <ns0:c r="A9" s="4" t="s">
        <ns0:v>14</ns0:v>
      </ns0:c>
      <ns0:c r="B9" s="4" t="s">
        <ns0:v>25</ns0:v>
      </ns0:c>
      <ns0:c r="C9" s="5" t="n">
        <ns0:v>847263</ns0:v>
      </ns0:c>
      <ns0:c r="D9" s="4" t="s">
        <ns0:v>16</ns0:v>
      </ns0:c>
      <ns0:c r="E9" s="4" t="s">
        <ns0:v>17</ns0:v>
      </ns0:c>
      <ns0:c r="F9" s="4" t="s">
        <ns0:v>18</ns0:v>
      </ns0:c>
    </ns0:row>
    <ns0:row r="10" ht="28.350000381469727" hidden="0">
      <ns0:c r="A10" s="4" t="s">
        <ns0:v>14</ns0:v>
      </ns0:c>
      <ns0:c r="B10" s="4" t="s">
        <ns0:v>26</ns0:v>
      </ns0:c>
      <ns0:c r="C10" s="5" t="n">
        <ns0:v>1187707</ns0:v>
      </ns0:c>
      <ns0:c r="D10" s="4" t="s">
        <ns0:v>16</ns0:v>
      </ns0:c>
      <ns0:c r="E10" s="4" t="s">
        <ns0:v>17</ns0:v>
      </ns0:c>
      <ns0:c r="F10" s="4" t="s">
        <ns0:v>18</ns0:v>
      </ns0:c>
    </ns0:row>
    <ns0:row r="11" ht="28.350000381469727" hidden="0">
      <ns0:c r="A11" s="4" t="s">
        <ns0:v>14</ns0:v>
      </ns0:c>
      <ns0:c r="B11" s="4" t="s">
        <ns0:v>27</ns0:v>
      </ns0:c>
      <ns0:c r="C11" s="5" t="n">
        <ns0:v>713433</ns0:v>
      </ns0:c>
      <ns0:c r="D11" s="4" t="s">
        <ns0:v>16</ns0:v>
      </ns0:c>
      <ns0:c r="E11" s="4" t="s">
        <ns0:v>17</ns0:v>
      </ns0:c>
      <ns0:c r="F11" s="4" t="s">
        <ns0:v>18</ns0:v>
      </ns0:c>
    </ns0:row>
    <ns0:row r="12" ht="28.350000381469727" hidden="0">
      <ns0:c r="A12" s="4" t="s">
        <ns0:v>14</ns0:v>
      </ns0:c>
      <ns0:c r="B12" s="4" t="s">
        <ns0:v>28</ns0:v>
      </ns0:c>
      <ns0:c r="C12" s="5" t="n">
        <ns0:v>532418</ns0:v>
      </ns0:c>
      <ns0:c r="D12" s="4" t="s">
        <ns0:v>16</ns0:v>
      </ns0:c>
      <ns0:c r="E12" s="4" t="s">
        <ns0:v>17</ns0:v>
      </ns0:c>
      <ns0:c r="F12" s="4" t="s">
        <ns0:v>18</ns0:v>
      </ns0:c>
    </ns0:row>
    <ns0:row r="13" ht="28.350000381469727" hidden="0">
      <ns0:c r="A13" s="4" t="s">
        <ns0:v>14</ns0:v>
      </ns0:c>
      <ns0:c r="B13" s="4" t="s">
        <ns0:v>29</ns0:v>
      </ns0:c>
      <ns0:c r="C13" s="5" t="n">
        <ns0:v>135224</ns0:v>
      </ns0:c>
      <ns0:c r="D13" s="4" t="s">
        <ns0:v>16</ns0:v>
      </ns0:c>
      <ns0:c r="E13" s="4" t="s">
        <ns0:v>17</ns0:v>
      </ns0:c>
      <ns0:c r="F13" s="4" t="s">
        <ns0:v>18</ns0:v>
      </ns0:c>
    </ns0:row>
    <ns0:row r="14" ht="28.350000381469727" hidden="0">
      <ns0:c r="A14" s="4" t="s">
        <ns0:v>14</ns0:v>
      </ns0:c>
      <ns0:c r="B14" s="4" t="s">
        <ns0:v>30</ns0:v>
      </ns0:c>
      <ns0:c r="C14" s="5" t="n">
        <ns0:v>1013831</ns0:v>
      </ns0:c>
      <ns0:c r="D14" s="4" t="s">
        <ns0:v>16</ns0:v>
      </ns0:c>
      <ns0:c r="E14" s="4" t="s">
        <ns0:v>17</ns0:v>
      </ns0:c>
      <ns0:c r="F14" s="4" t="s">
        <ns0:v>18</ns0:v>
      </ns0:c>
    </ns0:row>
    <ns0:row r="15" ht="28.350000381469727" hidden="0">
      <ns0:c r="A15" s="4" t="s">
        <ns0:v>14</ns0:v>
      </ns0:c>
      <ns0:c r="B15" s="4" t="s">
        <ns0:v>31</ns0:v>
      </ns0:c>
      <ns0:c r="C15" s="5" t="n">
        <ns0:v>1142937</ns0:v>
      </ns0:c>
      <ns0:c r="D15" s="4" t="s">
        <ns0:v>16</ns0:v>
      </ns0:c>
      <ns0:c r="E15" s="4" t="s">
        <ns0:v>17</ns0:v>
      </ns0:c>
      <ns0:c r="F15" s="4" t="s">
        <ns0:v>18</ns0:v>
      </ns0:c>
    </ns0:row>
    <ns0:row r="16" ht="28.350000381469727" hidden="0">
      <ns0:c r="A16" s="4" t="s">
        <ns0:v>14</ns0:v>
      </ns0:c>
      <ns0:c r="B16" s="4" t="s">
        <ns0:v>32</ns0:v>
      </ns0:c>
      <ns0:c r="C16" s="5" t="n">
        <ns0:v>761240</ns0:v>
      </ns0:c>
      <ns0:c r="D16" s="4" t="s">
        <ns0:v>16</ns0:v>
      </ns0:c>
      <ns0:c r="E16" s="4" t="s">
        <ns0:v>17</ns0:v>
      </ns0:c>
      <ns0:c r="F16" s="4" t="s">
        <ns0:v>18</ns0:v>
      </ns0:c>
    </ns0:row>
    <ns0:row r="17" ht="28.350000381469727" hidden="0">
      <ns0:c r="A17" s="4" t="s">
        <ns0:v>14</ns0:v>
      </ns0:c>
      <ns0:c r="B17" s="4" t="s">
        <ns0:v>33</ns0:v>
      </ns0:c>
      <ns0:c r="C17" s="5" t="n">
        <ns0:v>497908</ns0:v>
      </ns0:c>
      <ns0:c r="D17" s="4" t="s">
        <ns0:v>16</ns0:v>
      </ns0:c>
      <ns0:c r="E17" s="4" t="s">
        <ns0:v>17</ns0:v>
      </ns0:c>
      <ns0:c r="F17" s="4" t="s">
        <ns0:v>18</ns0:v>
      </ns0:c>
    </ns0:row>
    <ns0:row r="18" ht="28.350000381469727" hidden="0">
      <ns0:c r="A18" s="4" t="s">
        <ns0:v>14</ns0:v>
      </ns0:c>
      <ns0:c r="B18" s="4" t="s">
        <ns0:v>34</ns0:v>
      </ns0:c>
      <ns0:c r="C18" s="5" t="n">
        <ns0:v>913277</ns0:v>
      </ns0:c>
      <ns0:c r="D18" s="4" t="s">
        <ns0:v>16</ns0:v>
      </ns0:c>
      <ns0:c r="E18" s="4" t="s">
        <ns0:v>17</ns0:v>
      </ns0:c>
      <ns0:c r="F18" s="4" t="s">
        <ns0:v>18</ns0:v>
      </ns0:c>
    </ns0:row>
    <ns0:row r="19" ht="28.350000381469727" hidden="0">
      <ns0:c r="A19" s="4" t="s">
        <ns0:v>14</ns0:v>
      </ns0:c>
      <ns0:c r="B19" s="4" t="s">
        <ns0:v>35</ns0:v>
      </ns0:c>
      <ns0:c r="C19" s="5" t="n">
        <ns0:v>582601</ns0:v>
      </ns0:c>
      <ns0:c r="D19" s="4" t="s">
        <ns0:v>16</ns0:v>
      </ns0:c>
      <ns0:c r="E19" s="4" t="s">
        <ns0:v>17</ns0:v>
      </ns0:c>
      <ns0:c r="F19" s="4" t="s">
        <ns0:v>18</ns0:v>
      </ns0:c>
    </ns0:row>
    <ns0:row r="20" ht="28.350000381469727" hidden="0">
      <ns0:c r="A20" s="4" t="s">
        <ns0:v>14</ns0:v>
      </ns0:c>
      <ns0:c r="B20" s="4" t="s">
        <ns0:v>36</ns0:v>
      </ns0:c>
      <ns0:c r="C20" s="5" t="n">
        <ns0:v>973183</ns0:v>
      </ns0:c>
      <ns0:c r="D20" s="4" t="s">
        <ns0:v>16</ns0:v>
      </ns0:c>
      <ns0:c r="E20" s="4" t="s">
        <ns0:v>17</ns0:v>
      </ns0:c>
      <ns0:c r="F20" s="4" t="s">
        <ns0:v>18</ns0:v>
      </ns0:c>
    </ns0:row>
    <ns0:row r="21" ht="28.350000381469727" hidden="0">
      <ns0:c r="A21" s="4" t="s">
        <ns0:v>14</ns0:v>
      </ns0:c>
      <ns0:c r="B21" s="4" t="s">
        <ns0:v>37</ns0:v>
      </ns0:c>
      <ns0:c r="C21" s="5" t="n">
        <ns0:v>965543</ns0:v>
      </ns0:c>
      <ns0:c r="D21" s="4" t="s">
        <ns0:v>16</ns0:v>
      </ns0:c>
      <ns0:c r="E21" s="4" t="s">
        <ns0:v>17</ns0:v>
      </ns0:c>
      <ns0:c r="F21" s="4" t="s">
        <ns0:v>18</ns0:v>
      </ns0:c>
    </ns0:row>
    <ns0:row r="22" ht="15" hidden="0">
      <ns0:c r="A22" s="4" t="s">
        <ns0:v>14</ns0:v>
      </ns0:c>
      <ns0:c r="B22" s="4" t="s">
        <ns0:v>38</ns0:v>
      </ns0:c>
      <ns0:c r="C22" s="6">
        <ns0:f aca="0">SUM(C2:C21)</ns0:f>
        <ns0:v>15192514</ns0:v>
      </ns0:c>
      <ns0:c r="D22" s="4" t="s">
        <ns0:v>39</ns0:v>
      </ns0:c>
      <ns0:c r="E22" s="4"/>
      <ns0:c r="F22" s="4" t="s">
        <ns0:v>40</ns0:v>
      </ns0:c>
    </ns0:row>
    <ns0:row r="23" ht="15" hidden="0">
      <ns0:c r="A23" s="4" t="s">
        <ns0:v>14</ns0:v>
      </ns0:c>
      <ns0:c r="B23" s="4" t="s">
        <ns0:v>41</ns0:v>
      </ns0:c>
      <ns0:c r="C23" s="5" t="n">
        <ns0:v>15192514</ns0:v>
      </ns0:c>
      <ns0:c r="D23" s="4" t="s">
        <ns0:v>42</ns0:v>
      </ns0:c>
      <ns0:c r="E23" s="4"/>
      <ns0:c r="F23" s="4"/>
    </ns0:row>
    <ns0:row r="24" ht="15" hidden="0">
      <ns0:c r="A24" s="4" t="s">
        <ns0:v>14</ns0:v>
      </ns0:c>
      <ns0:c r="B24" s="4" t="s">
        <ns0:v>43</ns0:v>
      </ns0:c>
      <ns0:c r="C24" s="6">
        <ns0:f aca="0">C22-C23</ns0:f>
        <ns0:v>0</ns0:v>
      </ns0:c>
      <ns0:c r="D24" s="4" t="s">
        <ns0:v>39</ns0:v>
      </ns0:c>
      <ns0:c r="E24" s="4"/>
      <ns0:c r="F24" s="4" t="s">
        <ns0:v>44</ns0:v>
      </ns0:c>
    </ns0:row>
    <ns0:row r="25" ht="28.350000381469727" hidden="0">
      <ns0:c r="A25" s="4" t="s">
        <ns0:v>45</ns0:v>
      </ns0:c>
      <ns0:c r="B25" s="4" t="s">
        <ns0:v>46</ns0:v>
      </ns0:c>
      <ns0:c r="C25" s="5" t="n">
        <ns0:v>66771</ns0:v>
      </ns0:c>
      <ns0:c r="D25" s="4" t="s">
        <ns0:v>47</ns0:v>
      </ns0:c>
      <ns0:c r="E25" s="4" t="s">
        <ns0:v>48</ns0:v>
      </ns0:c>
      <ns0:c r="F25" s="4" t="s">
        <ns0:v>49</ns0:v>
      </ns0:c>
    </ns0:row>
    <ns0:row r="26" ht="28.350000381469727" hidden="0">
      <ns0:c r="A26" s="4" t="s">
        <ns0:v>45</ns0:v>
      </ns0:c>
      <ns0:c r="B26" s="4" t="s">
        <ns0:v>50</ns0:v>
      </ns0:c>
      <ns0:c r="C26" s="5" t="n">
        <ns0:v>129075</ns0:v>
      </ns0:c>
      <ns0:c r="D26" s="4" t="s">
        <ns0:v>47</ns0:v>
      </ns0:c>
      <ns0:c r="E26" s="4" t="s">
        <ns0:v>48</ns0:v>
      </ns0:c>
      <ns0:c r="F26" s="4" t="s">
        <ns0:v>49</ns0:v>
      </ns0:c>
    </ns0:row>
    <ns0:row r="27" ht="28.350000381469727" hidden="0">
      <ns0:c r="A27" s="4" t="s">
        <ns0:v>45</ns0:v>
      </ns0:c>
      <ns0:c r="B27" s="4" t="s">
        <ns0:v>51</ns0:v>
      </ns0:c>
      <ns0:c r="C27" s="5" t="n">
        <ns0:v>485936</ns0:v>
      </ns0:c>
      <ns0:c r="D27" s="4" t="s">
        <ns0:v>47</ns0:v>
      </ns0:c>
      <ns0:c r="E27" s="4" t="s">
        <ns0:v>48</ns0:v>
      </ns0:c>
      <ns0:c r="F27" s="4" t="s">
        <ns0:v>49</ns0:v>
      </ns0:c>
    </ns0:row>
    <ns0:row r="28" ht="28.350000381469727" hidden="0">
      <ns0:c r="A28" s="4" t="s">
        <ns0:v>45</ns0:v>
      </ns0:c>
      <ns0:c r="B28" s="4" t="s">
        <ns0:v>52</ns0:v>
      </ns0:c>
      <ns0:c r="C28" s="5" t="n">
        <ns0:v>77417</ns0:v>
      </ns0:c>
      <ns0:c r="D28" s="4" t="s">
        <ns0:v>47</ns0:v>
      </ns0:c>
      <ns0:c r="E28" s="4" t="s">
        <ns0:v>53</ns0:v>
      </ns0:c>
      <ns0:c r="F28" s="4" t="s">
        <ns0:v>49</ns0:v>
      </ns0:c>
    </ns0:row>
    <ns0:row r="29" ht="15" hidden="0">
      <ns0:c r="A29" s="4" t="s">
        <ns0:v>45</ns0:v>
      </ns0:c>
      <ns0:c r="B29" s="4" t="s">
        <ns0:v>38</ns0:v>
      </ns0:c>
      <ns0:c r="C29" s="6">
        <ns0:f aca="0">SUM(C25:C28)</ns0:f>
        <ns0:v>759199</ns0:v>
      </ns0:c>
      <ns0:c r="D29" s="4" t="s">
        <ns0:v>39</ns0:v>
      </ns0:c>
      <ns0:c r="E29" s="4"/>
      <ns0:c r="F29" s="4" t="s">
        <ns0:v>54</ns0:v>
      </ns0:c>
    </ns0:row>
    <ns0:row r="30" ht="15" hidden="0">
      <ns0:c r="A30" s="4" t="s">
        <ns0:v>45</ns0:v>
      </ns0:c>
      <ns0:c r="B30" s="4" t="s">
        <ns0:v>41</ns0:v>
      </ns0:c>
      <ns0:c r="C30" s="5" t="n">
        <ns0:v>759199</ns0:v>
      </ns0:c>
      <ns0:c r="D30" s="4" t="s">
        <ns0:v>55</ns0:v>
      </ns0:c>
      <ns0:c r="E30" s="4"/>
      <ns0:c r="F30" s="4"/>
    </ns0:row>
    <ns0:row r="31" ht="28.350000381469727" hidden="0">
      <ns0:c r="A31" s="4" t="s">
        <ns0:v>56</ns0:v>
      </ns0:c>
      <ns0:c r="B31" s="4" t="s">
        <ns0:v>57</ns0:v>
      </ns0:c>
      <ns0:c r="C31" s="5" t="n">
        <ns0:v>30537</ns0:v>
      </ns0:c>
      <ns0:c r="D31" s="4" t="s">
        <ns0:v>58</ns0:v>
      </ns0:c>
      <ns0:c r="E31" s="4" t="s">
        <ns0:v>59</ns0:v>
      </ns0:c>
      <ns0:c r="F31" s="4"/>
    </ns0:row>
    <ns0:row r="32" ht="15" hidden="0">
      <ns0:c r="A32" s="4" t="s">
        <ns0:v>56</ns0:v>
      </ns0:c>
      <ns0:c r="B32" s="4" t="s">
        <ns0:v>60</ns0:v>
      </ns0:c>
      <ns0:c r="C32" s="5" t="n">
        <ns0:v>1325525</ns0:v>
      </ns0:c>
      <ns0:c r="D32" s="4" t="s">
        <ns0:v>58</ns0:v>
      </ns0:c>
      <ns0:c r="E32" s="4" t="s">
        <ns0:v>61</ns0:v>
      </ns0:c>
      <ns0:c r="F32" s="4"/>
    </ns0:row>
    <ns0:row r="33" ht="15" hidden="0">
      <ns0:c r="A33" s="4" t="s">
        <ns0:v>56</ns0:v>
      </ns0:c>
      <ns0:c r="B33" s="4" t="s">
        <ns0:v>62</ns0:v>
      </ns0:c>
      <ns0:c r="C33" s="5" t="n">
        <ns0:v>89985</ns0:v>
      </ns0:c>
      <ns0:c r="D33" s="4" t="s">
        <ns0:v>58</ns0:v>
      </ns0:c>
      <ns0:c r="E33" s="4" t="s">
        <ns0:v>63</ns0:v>
      </ns0:c>
      <ns0:c r="F33" s="4"/>
    </ns0:row>
    <ns0:row r="34" ht="15" hidden="0">
      <ns0:c r="A34" s="4" t="s">
        <ns0:v>56</ns0:v>
      </ns0:c>
      <ns0:c r="B34" s="4" t="s">
        <ns0:v>64</ns0:v>
      </ns0:c>
      <ns0:c r="C34" s="5" t="n">
        <ns0:v>569911</ns0:v>
      </ns0:c>
      <ns0:c r="D34" s="4" t="s">
        <ns0:v>58</ns0:v>
      </ns0:c>
      <ns0:c r="E34" s="4" t="s">
        <ns0:v>65</ns0:v>
      </ns0:c>
      <ns0:c r="F34" s="4"/>
    </ns0:row>
    <ns0:row r="35" ht="15" hidden="0">
      <ns0:c r="A35" s="4" t="s">
        <ns0:v>56</ns0:v>
      </ns0:c>
      <ns0:c r="B35" s="4" t="s">
        <ns0:v>66</ns0:v>
      </ns0:c>
      <ns0:c r="C35" s="5" t="n">
        <ns0:v>11547</ns0:v>
      </ns0:c>
      <ns0:c r="D35" s="4" t="s">
        <ns0:v>58</ns0:v>
      </ns0:c>
      <ns0:c r="E35" s="4" t="s">
        <ns0:v>65</ns0:v>
      </ns0:c>
      <ns0:c r="F35" s="4"/>
    </ns0:row>
    <ns0:row r="36" ht="15" hidden="0">
      <ns0:c r="A36" s="4" t="s">
        <ns0:v>56</ns0:v>
      </ns0:c>
      <ns0:c r="B36" s="4" t="s">
        <ns0:v>67</ns0:v>
      </ns0:c>
      <ns0:c r="C36" s="5" t="n">
        <ns0:v>137481</ns0:v>
      </ns0:c>
      <ns0:c r="D36" s="4" t="s">
        <ns0:v>58</ns0:v>
      </ns0:c>
      <ns0:c r="E36" s="4" t="s">
        <ns0:v>65</ns0:v>
      </ns0:c>
      <ns0:c r="F36" s="4"/>
    </ns0:row>
    <ns0:row r="37" ht="15" hidden="0">
      <ns0:c r="A37" s="4" t="s">
        <ns0:v>56</ns0:v>
      </ns0:c>
      <ns0:c r="B37" s="4" t="s">
        <ns0:v>68</ns0:v>
      </ns0:c>
      <ns0:c r="C37" s="5" t="n">
        <ns0:v>18888</ns0:v>
      </ns0:c>
      <ns0:c r="D37" s="4" t="s">
        <ns0:v>69</ns0:v>
      </ns0:c>
      <ns0:c r="E37" s="4" t="s">
        <ns0:v>70</ns0:v>
      </ns0:c>
      <ns0:c r="F37" s="4"/>
    </ns0:row>
    <ns0:row r="38" ht="28.350000381469727" hidden="0">
      <ns0:c r="A38" s="4" t="s">
        <ns0:v>71</ns0:v>
      </ns0:c>
      <ns0:c r="B38" s="4" t="s">
        <ns0:v>72</ns0:v>
      </ns0:c>
      <ns0:c r="C38" s="5" t="n">
        <ns0:v>50591</ns0:v>
      </ns0:c>
      <ns0:c r="D38" s="4" t="s">
        <ns0:v>73</ns0:v>
      </ns0:c>
      <ns0:c r="E38" s="4" t="s">
        <ns0:v>74</ns0:v>
      </ns0:c>
      <ns0:c r="F38" s="4" t="s">
        <ns0:v>75</ns0:v>
      </ns0:c>
    </ns0:row>
    <ns0:row r="39" ht="28.350000381469727" hidden="0">
      <ns0:c r="A39" s="4" t="s">
        <ns0:v>71</ns0:v>
      </ns0:c>
      <ns0:c r="B39" s="4" t="s">
        <ns0:v>76</ns0:v>
      </ns0:c>
      <ns0:c r="C39" s="5" t="n">
        <ns0:v>61391</ns0:v>
      </ns0:c>
      <ns0:c r="D39" s="4" t="s">
        <ns0:v>73</ns0:v>
      </ns0:c>
      <ns0:c r="E39" s="4" t="s">
        <ns0:v>74</ns0:v>
      </ns0:c>
      <ns0:c r="F39" s="4" t="s">
        <ns0:v>75</ns0:v>
      </ns0:c>
    </ns0:row>
    <ns0:row r="40" ht="28.350000381469727" hidden="0">
      <ns0:c r="A40" s="4" t="s">
        <ns0:v>71</ns0:v>
      </ns0:c>
      <ns0:c r="B40" s="4" t="s">
        <ns0:v>77</ns0:v>
      </ns0:c>
      <ns0:c r="C40" s="5" t="n">
        <ns0:v>14463</ns0:v>
      </ns0:c>
      <ns0:c r="D40" s="4" t="s">
        <ns0:v>73</ns0:v>
      </ns0:c>
      <ns0:c r="E40" s="4" t="s">
        <ns0:v>74</ns0:v>
      </ns0:c>
      <ns0:c r="F40" s="4" t="s">
        <ns0:v>75</ns0:v>
      </ns0:c>
    </ns0:row>
    <ns0:row r="41" ht="41.75" hidden="0">
      <ns0:c r="A41" s="4" t="s">
        <ns0:v>78</ns0:v>
      </ns0:c>
      <ns0:c r="B41" s="4" t="s">
        <ns0:v>79</ns0:v>
      </ns0:c>
      <ns0:c r="C41" s="5" t="n">
        <ns0:v>163035</ns0:v>
      </ns0:c>
      <ns0:c r="D41" s="4" t="s">
        <ns0:v>80</ns0:v>
      </ns0:c>
      <ns0:c r="E41" s="4" t="s">
        <ns0:v>81</ns0:v>
      </ns0:c>
      <ns0:c r="F41" s="4" t="s">
        <ns0:v>82</ns0:v>
      </ns0:c>
    </ns0:row>
    <ns0:row r="42" ht="28.350000381469727" hidden="0">
      <ns0:c r="A42" s="4" t="s">
        <ns0:v>83</ns0:v>
      </ns0:c>
      <ns0:c r="B42" s="4" t="s">
        <ns0:v>84</ns0:v>
      </ns0:c>
      <ns0:c r="C42" s="5" t="n">
        <ns0:v>1595188</ns0:v>
      </ns0:c>
      <ns0:c r="D42" s="4" t="s">
        <ns0:v>85</ns0:v>
      </ns0:c>
      <ns0:c r="E42" s="4" t="s">
        <ns0:v>86</ns0:v>
      </ns0:c>
      <ns0:c r="F42" s="4" t="s">
        <ns0:v>87</ns0:v>
      </ns0:c>
    </ns0:row>
    <ns0:row r="43" ht="28.350000381469727" hidden="0">
      <ns0:c r="A43" s="4" t="s">
        <ns0:v>88</ns0:v>
      </ns0:c>
      <ns0:c r="B43" s="4" t="s">
        <ns0:v>89</ns0:v>
      </ns0:c>
      <ns0:c r="C43" s="4"/>
      <ns0:c r="D43" s="4" t="s">
        <ns0:v>90</ns0:v>
      </ns0:c>
      <ns0:c r="E43" s="4" t="s">
        <ns0:v>91</ns0:v>
      </ns0:c>
      <ns0:c r="F43" s="4" t="s">
        <ns0:v>92</ns0:v>
      </ns0:c>
    </ns0:row>
  </ns0:sheetData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1" workbookViewId="0">
      <ns0:pane ySplit="1" topLeftCell="A2" activePane="bottomLeft" state="frozen"/>
    </ns0:sheetView>
  </ns0:sheetViews>
  <ns0:sheetFormatPr defaultColWidth="8.6796875" defaultRowHeight="15"/>
  <ns0:cols>
    <ns0:col min="1" max="1" width="16" hidden="0" customWidth="1"/>
    <ns0:col min="2" max="2" width="52" hidden="0" customWidth="1"/>
    <ns0:col min="3" max="3" width="16" hidden="0" customWidth="1"/>
    <ns0:col min="4" max="5" width="10" hidden="0" customWidth="1"/>
    <ns0:col min="6" max="7" width="16" hidden="0" customWidth="1"/>
    <ns0:col min="8" max="8" width="10" hidden="0" customWidth="1"/>
    <ns0:col min="9" max="9" width="60" hidden="0" customWidth="1"/>
  </ns0:cols>
  <ns0:sheetData>
    <ns0:row r="1" ht="41.75" hidden="0">
      <ns0:c r="A1" s="3" t="s">
        <ns0:v>8</ns0:v>
      </ns0:c>
      <ns0:c r="B1" s="3" t="s">
        <ns0:v>93</ns0:v>
      </ns0:c>
      <ns0:c r="C1" s="3" t="s">
        <ns0:v>94</ns0:v>
      </ns0:c>
      <ns0:c r="D1" s="3" t="s">
        <ns0:v>95</ns0:v>
      </ns0:c>
      <ns0:c r="E1" s="3" t="s">
        <ns0:v>96</ns0:v>
      </ns0:c>
      <ns0:c r="F1" s="3" t="s">
        <ns0:v>97</ns0:v>
      </ns0:c>
      <ns0:c r="G1" s="3" t="s">
        <ns0:v>98</ns0:v>
      </ns0:c>
      <ns0:c r="H1" s="3" t="s">
        <ns0:v>99</ns0:v>
      </ns0:c>
      <ns0:c r="I1" s="3" t="s">
        <ns0:v>100</ns0:v>
      </ns0:c>
    </ns0:row>
    <ns0:row r="2" ht="41.75" hidden="0">
      <ns0:c r="A2" s="4" t="s">
        <ns0:v>14</ns0:v>
      </ns0:c>
      <ns0:c r="B2" s="4" t="s">
        <ns0:v>101</ns0:v>
      </ns0:c>
      <ns0:c r="C2" s="4" t="s">
        <ns0:v>102</ns0:v>
      </ns0:c>
      <ns0:c r="D2" s="4" t="n">
        <ns0:v>20</ns0:v>
      </ns0:c>
      <ns0:c r="E2" s="4" t="n">
        <ns0:v>20</ns0:v>
      </ns0:c>
      <ns0:c r="F2" s="6">
        <ns0:f aca="0">Populacao!C22</ns0:f>
        <ns0:v>15192514</ns0:v>
      </ns0:c>
      <ns0:c r="G2" s="6">
        <ns0:f aca="0">Populacao!C22</ns0:f>
        <ns0:v>15192514</ns0:v>
      </ns0:c>
      <ns0:c r="H2" s="7">
        <ns0:f aca="0">IF(AND(ISNUMBER(F2),F2&lt;&gt;0),G2/F2,"")</ns0:f>
        <ns0:v>1</ns0:v>
      </ns0:c>
      <ns0:c r="I2" s="4" t="s">
        <ns0:v>103</ns0:v>
      </ns0:c>
    </ns0:row>
    <ns0:row r="3" ht="28.350000381469727" hidden="0">
      <ns0:c r="A3" s="4" t="s">
        <ns0:v>45</ns0:v>
      </ns0:c>
      <ns0:c r="B3" s="4" t="s">
        <ns0:v>104</ns0:v>
      </ns0:c>
      <ns0:c r="C3" s="4" t="s">
        <ns0:v>105</ns0:v>
      </ns0:c>
      <ns0:c r="D3" s="4" t="n">
        <ns0:v>4</ns0:v>
      </ns0:c>
      <ns0:c r="E3" s="4" t="n">
        <ns0:v>4</ns0:v>
      </ns0:c>
      <ns0:c r="F3" s="6" t="n">
        <ns0:v>759199</ns0:v>
      </ns0:c>
      <ns0:c r="G3" s="6" t="n">
        <ns0:v>759199</ns0:v>
      </ns0:c>
      <ns0:c r="H3" s="7">
        <ns0:f aca="0">IF(AND(ISNUMBER(F3),F3&lt;&gt;0),G3/F3,"")</ns0:f>
        <ns0:v>1</ns0:v>
      </ns0:c>
      <ns0:c r="I3" s="4" t="s">
        <ns0:v>106</ns0:v>
      </ns0:c>
    </ns0:row>
    <ns0:row r="4" ht="41.75" hidden="0">
      <ns0:c r="A4" s="4" t="s">
        <ns0:v>56</ns0:v>
      </ns0:c>
      <ns0:c r="B4" s="4" t="s">
        <ns0:v>107</ns0:v>
      </ns0:c>
      <ns0:c r="C4" s="4" t="s">
        <ns0:v>108</ns0:v>
      </ns0:c>
      <ns0:c r="D4" s="4" t="n">
        <ns0:v>7</ns0:v>
      </ns0:c>
      <ns0:c r="E4" s="4" t="n">
        <ns0:v>7</ns0:v>
      </ns0:c>
      <ns0:c r="F4" s="6" t="n">
        <ns0:v>2183874</ns0:v>
      </ns0:c>
      <ns0:c r="G4" s="6" t="n">
        <ns0:v>2183874</ns0:v>
      </ns0:c>
      <ns0:c r="H4" s="7">
        <ns0:f aca="0">IF(AND(ISNUMBER(F4),F4&lt;&gt;0),G4/F4,"")</ns0:f>
        <ns0:v>1</ns0:v>
      </ns0:c>
      <ns0:c r="I4" s="4" t="s">
        <ns0:v>109</ns0:v>
      </ns0:c>
    </ns0:row>
    <ns0:row r="5" ht="28.350000381469727" hidden="0">
      <ns0:c r="A5" s="4" t="s">
        <ns0:v>71</ns0:v>
      </ns0:c>
      <ns0:c r="B5" s="4" t="s">
        <ns0:v>110</ns0:v>
      </ns0:c>
      <ns0:c r="C5" s="4" t="s">
        <ns0:v>105</ns0:v>
      </ns0:c>
      <ns0:c r="D5" s="4" t="n">
        <ns0:v>3</ns0:v>
      </ns0:c>
      <ns0:c r="E5" s="4" t="n">
        <ns0:v>3</ns0:v>
      </ns0:c>
      <ns0:c r="F5" s="6" t="n">
        <ns0:v>126445</ns0:v>
      </ns0:c>
      <ns0:c r="G5" s="6" t="n">
        <ns0:v>126445</ns0:v>
      </ns0:c>
      <ns0:c r="H5" s="7">
        <ns0:f aca="0">IF(AND(ISNUMBER(F5),F5&lt;&gt;0),G5/F5,"")</ns0:f>
        <ns0:v>1</ns0:v>
      </ns0:c>
      <ns0:c r="I5" s="4" t="s">
        <ns0:v>111</ns0:v>
      </ns0:c>
    </ns0:row>
    <ns0:row r="6" ht="28.350000381469727" hidden="0">
      <ns0:c r="A6" s="4" t="s">
        <ns0:v>78</ns0:v>
      </ns0:c>
      <ns0:c r="B6" s="4" t="s">
        <ns0:v>112</ns0:v>
      </ns0:c>
      <ns0:c r="C6" s="4" t="s">
        <ns0:v>113</ns0:v>
      </ns0:c>
      <ns0:c r="D6" s="4"/>
      <ns0:c r="E6" s="4"/>
      <ns0:c r="F6" s="6"/>
      <ns0:c r="G6" s="6"/>
      <ns0:c r="H6" s="7">
        <ns0:f aca="0">IF(AND(ISNUMBER(F6),F6&lt;&gt;0),G6/F6,"")</ns0:f>
        <ns0:v/>
      </ns0:c>
      <ns0:c r="I6" s="4" t="s">
        <ns0:v>114</ns0:v>
      </ns0:c>
    </ns0:row>
    <ns0:row r="7" ht="15" hidden="0">
      <ns0:c r="A7" s="4" t="s">
        <ns0:v>83</ns0:v>
      </ns0:c>
      <ns0:c r="B7" s="4" t="s">
        <ns0:v>115</ns0:v>
      </ns0:c>
      <ns0:c r="C7" s="4" t="s">
        <ns0:v>105</ns0:v>
      </ns0:c>
      <ns0:c r="D7" s="4" t="n">
        <ns0:v>5</ns0:v>
      </ns0:c>
      <ns0:c r="E7" s="4" t="n">
        <ns0:v>5</ns0:v>
      </ns0:c>
      <ns0:c r="F7" s="6" t="n">
        <ns0:v>1595188</ns0:v>
      </ns0:c>
      <ns0:c r="G7" s="6" t="n">
        <ns0:v>1595188</ns0:v>
      </ns0:c>
      <ns0:c r="H7" s="7">
        <ns0:f aca="0">IF(AND(ISNUMBER(F7),F7&lt;&gt;0),G7/F7,"")</ns0:f>
        <ns0:v>1</ns0:v>
      </ns0:c>
      <ns0:c r="I7" s="4" t="s">
        <ns0:v>116</ns0:v>
      </ns0:c>
    </ns0:row>
    <ns0:row r="8" ht="28.350000381469727" hidden="0">
      <ns0:c r="A8" s="4" t="s">
        <ns0:v>117</ns0:v>
      </ns0:c>
      <ns0:c r="B8" s="4" t="s">
        <ns0:v>118</ns0:v>
      </ns0:c>
      <ns0:c r="C8" s="4" t="s">
        <ns0:v>105</ns0:v>
      </ns0:c>
      <ns0:c r="D8" s="4"/>
      <ns0:c r="E8" s="4" t="n">
        <ns0:v>1</ns0:v>
      </ns0:c>
      <ns0:c r="F8" s="6"/>
      <ns0:c r="G8" s="6"/>
      <ns0:c r="H8" s="7">
        <ns0:f aca="0">IF(AND(ISNUMBER(F8),F8&lt;&gt;0),G8/F8,"")</ns0:f>
        <ns0:v/>
      </ns0:c>
      <ns0:c r="I8" s="4" t="s">
        <ns0:v>119</ns0:v>
      </ns0:c>
    </ns0:row>
    <ns0:row r="10" ht="41.75" hidden="0">
      <ns0:c r="A10" s="4" t="s">
        <ns0:v>120</ns0:v>
      </ns0:c>
      <ns0:c r="B10" s="4" t="s">
        <ns0:v>121</ns0:v>
      </ns0:c>
    </ns0:row>
  </ns0:sheetData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1" workbookViewId="0">
      <ns0:pane ySplit="1" topLeftCell="A2" activePane="bottomLeft" state="frozen"/>
    </ns0:sheetView>
  </ns0:sheetViews>
  <ns0:sheetFormatPr defaultColWidth="8.6796875" defaultRowHeight="15"/>
  <ns0:cols>
    <ns0:col min="1" max="1" width="8" hidden="0" customWidth="1"/>
    <ns0:col min="2" max="2" width="20" hidden="0" customWidth="1"/>
    <ns0:col min="3" max="3" width="14" hidden="0" customWidth="1"/>
    <ns0:col min="4" max="4" width="30" hidden="0" customWidth="1"/>
    <ns0:col min="5" max="5" width="11" hidden="0" customWidth="1"/>
    <ns0:col min="6" max="6" width="40" hidden="0" customWidth="1"/>
    <ns0:col min="7" max="9" width="14" hidden="0" customWidth="1"/>
    <ns0:col min="10" max="10" width="12" hidden="0" customWidth="1"/>
    <ns0:col min="11" max="11" width="10" hidden="0" customWidth="1"/>
    <ns0:col min="12" max="12" width="12" hidden="0" customWidth="1"/>
    <ns0:col min="13" max="14" width="14" hidden="0" customWidth="1"/>
    <ns0:col min="15" max="15" width="12" hidden="0" customWidth="1"/>
    <ns0:col min="16" max="16" width="22" hidden="0" customWidth="1"/>
  </ns0:cols>
  <ns0:sheetData>
    <ns0:row r="1" ht="55.20000076293945" hidden="0">
      <ns0:c r="A1" s="3" t="s">
        <ns0:v>122</ns0:v>
      </ns0:c>
      <ns0:c r="B1" s="3" t="s">
        <ns0:v>123</ns0:v>
      </ns0:c>
      <ns0:c r="C1" s="3" t="s">
        <ns0:v>8</ns0:v>
      </ns0:c>
      <ns0:c r="D1" s="3" t="s">
        <ns0:v>124</ns0:v>
      </ns0:c>
      <ns0:c r="E1" s="3" t="s">
        <ns0:v>125</ns0:v>
      </ns0:c>
      <ns0:c r="F1" s="3" t="s">
        <ns0:v>126</ns0:v>
      </ns0:c>
      <ns0:c r="G1" s="3" t="s">
        <ns0:v>127</ns0:v>
      </ns0:c>
      <ns0:c r="H1" s="3" t="s">
        <ns0:v>128</ns0:v>
      </ns0:c>
      <ns0:c r="I1" s="3" t="s">
        <ns0:v>129</ns0:v>
      </ns0:c>
      <ns0:c r="J1" s="3" t="s">
        <ns0:v>130</ns0:v>
      </ns0:c>
      <ns0:c r="K1" s="3" t="s">
        <ns0:v>131</ns0:v>
      </ns0:c>
      <ns0:c r="L1" s="3" t="s">
        <ns0:v>132</ns0:v>
      </ns0:c>
      <ns0:c r="M1" s="3" t="s">
        <ns0:v>133</ns0:v>
      </ns0:c>
      <ns0:c r="N1" s="3" t="s">
        <ns0:v>134</ns0:v>
      </ns0:c>
      <ns0:c r="O1" s="3" t="s">
        <ns0:v>43</ns0:v>
      </ns0:c>
      <ns0:c r="P1" s="3" t="s">
        <ns0:v>135</ns0:v>
      </ns0:c>
    </ns0:row>
    <ns0:row r="2" ht="41.75" hidden="0">
      <ns0:c r="A2" s="4" t="s">
        <ns0:v>136</ns0:v>
      </ns0:c>
      <ns0:c r="B2" s="4" t="s">
        <ns0:v>137</ns0:v>
      </ns0:c>
      <ns0:c r="C2" s="4" t="s">
        <ns0:v>56</ns0:v>
      </ns0:c>
      <ns0:c r="D2" s="4" t="s">
        <ns0:v>138</ns0:v>
      </ns0:c>
      <ns0:c r="E2" s="8" t="n">
        <ns0:v>46022</ns0:v>
      </ns0:c>
      <ns0:c r="F2" s="4" t="s">
        <ns0:v>139</ns0:v>
      </ns0:c>
      <ns0:c r="G2" s="6" t="n">
        <ns0:v>1356062</ns0:v>
      </ns0:c>
      <ns0:c r="H2" s="4" t="s">
        <ns0:v>140</ns0:v>
      </ns0:c>
      <ns0:c r="I2" s="4"/>
      <ns0:c r="J2" s="4"/>
      <ns0:c r="K2" s="4"/>
      <ns0:c r="L2" s="4"/>
      <ns0:c r="M2" s="4"/>
      <ns0:c r="N2" s="6"/>
      <ns0:c r="O2" s="6">
        <ns0:f aca="0">IF(ISNUMBER(N2),G2-N2,"")</ns0:f>
        <ns0:v/>
      </ns0:c>
      <ns0:c r="P2" s="9" t="s">
        <ns0:v>141</ns0:v>
      </ns0:c>
    </ns0:row>
    <ns0:row r="3" ht="41.75" hidden="0">
      <ns0:c r="A3" s="4" t="s">
        <ns0:v>142</ns0:v>
      </ns0:c>
      <ns0:c r="B3" s="4" t="s">
        <ns0:v>143</ns0:v>
      </ns0:c>
      <ns0:c r="C3" s="4" t="s">
        <ns0:v>56</ns0:v>
      </ns0:c>
      <ns0:c r="D3" s="4" t="s">
        <ns0:v>144</ns0:v>
      </ns0:c>
      <ns0:c r="E3" s="8" t="n">
        <ns0:v>46022</ns0:v>
      </ns0:c>
      <ns0:c r="F3" s="4" t="s">
        <ns0:v>145</ns0:v>
      </ns0:c>
      <ns0:c r="G3" s="6" t="n">
        <ns0:v>808924</ns0:v>
      </ns0:c>
      <ns0:c r="H3" s="4" t="s">
        <ns0:v>140</ns0:v>
      </ns0:c>
      <ns0:c r="I3" s="4"/>
      <ns0:c r="J3" s="4"/>
      <ns0:c r="K3" s="4"/>
      <ns0:c r="L3" s="4"/>
      <ns0:c r="M3" s="4"/>
      <ns0:c r="N3" s="6"/>
      <ns0:c r="O3" s="6">
        <ns0:f aca="0">IF(ISNUMBER(N3),G3-N3,"")</ns0:f>
        <ns0:v/>
      </ns0:c>
      <ns0:c r="P3" s="9" t="s">
        <ns0:v>141</ns0:v>
      </ns0:c>
    </ns0:row>
    <ns0:row r="4" ht="41.75" hidden="0">
      <ns0:c r="A4" s="4" t="s">
        <ns0:v>146</ns0:v>
      </ns0:c>
      <ns0:c r="B4" s="4" t="s">
        <ns0:v>147</ns0:v>
      </ns0:c>
      <ns0:c r="C4" s="4" t="s">
        <ns0:v>14</ns0:v>
      </ns0:c>
      <ns0:c r="D4" s="4" t="s">
        <ns0:v>148</ns0:v>
      </ns0:c>
      <ns0:c r="E4" s="8" t="n">
        <ns0:v>46022</ns0:v>
      </ns0:c>
      <ns0:c r="F4" s="4" t="s">
        <ns0:v>149</ns0:v>
      </ns0:c>
      <ns0:c r="G4" s="6" t="n">
        <ns0:v>15192514</ns0:v>
      </ns0:c>
      <ns0:c r="H4" s="4" t="s">
        <ns0:v>140</ns0:v>
      </ns0:c>
      <ns0:c r="I4" s="4"/>
      <ns0:c r="J4" s="4"/>
      <ns0:c r="K4" s="4"/>
      <ns0:c r="L4" s="4"/>
      <ns0:c r="M4" s="4"/>
      <ns0:c r="N4" s="6"/>
      <ns0:c r="O4" s="6">
        <ns0:f aca="0">IF(ISNUMBER(N4),G4-N4,"")</ns0:f>
        <ns0:v/>
      </ns0:c>
      <ns0:c r="P4" s="9" t="s">
        <ns0:v>141</ns0:v>
      </ns0:c>
    </ns0:row>
    <ns0:row r="5" ht="41.75" hidden="0">
      <ns0:c r="A5" s="4" t="s">
        <ns0:v>150</ns0:v>
      </ns0:c>
      <ns0:c r="B5" s="4" t="s">
        <ns0:v>151</ns0:v>
      </ns0:c>
      <ns0:c r="C5" s="4" t="s">
        <ns0:v>45</ns0:v>
      </ns0:c>
      <ns0:c r="D5" s="4" t="s">
        <ns0:v>152</ns0:v>
      </ns0:c>
      <ns0:c r="E5" s="8" t="n">
        <ns0:v>46022</ns0:v>
      </ns0:c>
      <ns0:c r="F5" s="4" t="s">
        <ns0:v>153</ns0:v>
      </ns0:c>
      <ns0:c r="G5" s="6" t="n">
        <ns0:v>681782</ns0:v>
      </ns0:c>
      <ns0:c r="H5" s="4" t="s">
        <ns0:v>140</ns0:v>
      </ns0:c>
      <ns0:c r="I5" s="4"/>
      <ns0:c r="J5" s="4"/>
      <ns0:c r="K5" s="4"/>
      <ns0:c r="L5" s="4"/>
      <ns0:c r="M5" s="4"/>
      <ns0:c r="N5" s="6"/>
      <ns0:c r="O5" s="6">
        <ns0:f aca="0">IF(ISNUMBER(N5),G5-N5,"")</ns0:f>
        <ns0:v/>
      </ns0:c>
      <ns0:c r="P5" s="9" t="s">
        <ns0:v>141</ns0:v>
      </ns0:c>
    </ns0:row>
    <ns0:row r="6" ht="41.75" hidden="0">
      <ns0:c r="A6" s="4" t="s">
        <ns0:v>154</ns0:v>
      </ns0:c>
      <ns0:c r="B6" s="4" t="s">
        <ns0:v>151</ns0:v>
      </ns0:c>
      <ns0:c r="C6" s="4" t="s">
        <ns0:v>45</ns0:v>
      </ns0:c>
      <ns0:c r="D6" s="4" t="s">
        <ns0:v>155</ns0:v>
      </ns0:c>
      <ns0:c r="E6" s="8" t="n">
        <ns0:v>46022</ns0:v>
      </ns0:c>
      <ns0:c r="F6" s="4" t="s">
        <ns0:v>156</ns0:v>
      </ns0:c>
      <ns0:c r="G6" s="6" t="n">
        <ns0:v>77417</ns0:v>
      </ns0:c>
      <ns0:c r="H6" s="4" t="s">
        <ns0:v>140</ns0:v>
      </ns0:c>
      <ns0:c r="I6" s="4"/>
      <ns0:c r="J6" s="4"/>
      <ns0:c r="K6" s="4"/>
      <ns0:c r="L6" s="4"/>
      <ns0:c r="M6" s="4"/>
      <ns0:c r="N6" s="6"/>
      <ns0:c r="O6" s="6">
        <ns0:f aca="0">IF(ISNUMBER(N6),G6-N6,"")</ns0:f>
        <ns0:v/>
      </ns0:c>
      <ns0:c r="P6" s="9" t="s">
        <ns0:v>141</ns0:v>
      </ns0:c>
    </ns0:row>
    <ns0:row r="7" ht="41.75" hidden="0">
      <ns0:c r="A7" s="4" t="s">
        <ns0:v>157</ns0:v>
      </ns0:c>
      <ns0:c r="B7" s="4" t="s">
        <ns0:v>158</ns0:v>
      </ns0:c>
      <ns0:c r="C7" s="4" t="s">
        <ns0:v>78</ns0:v>
      </ns0:c>
      <ns0:c r="D7" s="4" t="s">
        <ns0:v>159</ns0:v>
      </ns0:c>
      <ns0:c r="E7" s="8" t="n">
        <ns0:v>46022</ns0:v>
      </ns0:c>
      <ns0:c r="F7" s="4" t="s">
        <ns0:v>160</ns0:v>
      </ns0:c>
      <ns0:c r="G7" s="6" t="n">
        <ns0:v>163035</ns0:v>
      </ns0:c>
      <ns0:c r="H7" s="4" t="s">
        <ns0:v>140</ns0:v>
      </ns0:c>
      <ns0:c r="I7" s="4"/>
      <ns0:c r="J7" s="4"/>
      <ns0:c r="K7" s="4"/>
      <ns0:c r="L7" s="4"/>
      <ns0:c r="M7" s="4"/>
      <ns0:c r="N7" s="6"/>
      <ns0:c r="O7" s="6">
        <ns0:f aca="0">IF(ISNUMBER(N7),G7-N7,"")</ns0:f>
        <ns0:v/>
      </ns0:c>
      <ns0:c r="P7" s="9" t="s">
        <ns0:v>141</ns0:v>
      </ns0:c>
    </ns0:row>
    <ns0:row r="8" ht="41.75" hidden="0">
      <ns0:c r="A8" s="4" t="s">
        <ns0:v>161</ns0:v>
      </ns0:c>
      <ns0:c r="B8" s="4" t="s">
        <ns0:v>162</ns0:v>
      </ns0:c>
      <ns0:c r="C8" s="4" t="s">
        <ns0:v>71</ns0:v>
      </ns0:c>
      <ns0:c r="D8" s="4" t="s">
        <ns0:v>163</ns0:v>
      </ns0:c>
      <ns0:c r="E8" s="8" t="n">
        <ns0:v>46022</ns0:v>
      </ns0:c>
      <ns0:c r="F8" s="4" t="s">
        <ns0:v>164</ns0:v>
      </ns0:c>
      <ns0:c r="G8" s="6" t="n">
        <ns0:v>126445</ns0:v>
      </ns0:c>
      <ns0:c r="H8" s="4" t="s">
        <ns0:v>140</ns0:v>
      </ns0:c>
      <ns0:c r="I8" s="4"/>
      <ns0:c r="J8" s="4"/>
      <ns0:c r="K8" s="4"/>
      <ns0:c r="L8" s="4"/>
      <ns0:c r="M8" s="4"/>
      <ns0:c r="N8" s="6"/>
      <ns0:c r="O8" s="6">
        <ns0:f aca="0">IF(ISNUMBER(N8),G8-N8,"")</ns0:f>
        <ns0:v/>
      </ns0:c>
      <ns0:c r="P8" s="9" t="s">
        <ns0:v>141</ns0:v>
      </ns0:c>
    </ns0:row>
    <ns0:row r="9" ht="41.75" hidden="0">
      <ns0:c r="A9" s="4" t="s">
        <ns0:v>165</ns0:v>
      </ns0:c>
      <ns0:c r="B9" s="4" t="s">
        <ns0:v>166</ns0:v>
      </ns0:c>
      <ns0:c r="C9" s="4" t="s">
        <ns0:v>88</ns0:v>
      </ns0:c>
      <ns0:c r="D9" s="4" t="s">
        <ns0:v>167</ns0:v>
      </ns0:c>
      <ns0:c r="E9" s="8" t="n">
        <ns0:v>46022</ns0:v>
      </ns0:c>
      <ns0:c r="F9" s="4" t="s">
        <ns0:v>168</ns0:v>
      </ns0:c>
      <ns0:c r="G9" s="6"/>
      <ns0:c r="H9" s="4" t="s">
        <ns0:v>140</ns0:v>
      </ns0:c>
      <ns0:c r="I9" s="4"/>
      <ns0:c r="J9" s="4"/>
      <ns0:c r="K9" s="4"/>
      <ns0:c r="L9" s="4"/>
      <ns0:c r="M9" s="4"/>
      <ns0:c r="N9" s="6"/>
      <ns0:c r="O9" s="6">
        <ns0:f aca="0">IF(ISNUMBER(N9),G9-N9,"")</ns0:f>
        <ns0:v/>
      </ns0:c>
      <ns0:c r="P9" s="9" t="s">
        <ns0:v>141</ns0:v>
      </ns0:c>
    </ns0:row>
    <ns0:row r="10" ht="41.75" hidden="0">
      <ns0:c r="A10" s="4" t="s">
        <ns0:v>169</ns0:v>
      </ns0:c>
      <ns0:c r="B10" s="4" t="s">
        <ns0:v>137</ns0:v>
      </ns0:c>
      <ns0:c r="C10" s="4" t="s">
        <ns0:v>83</ns0:v>
      </ns0:c>
      <ns0:c r="D10" s="4" t="s">
        <ns0:v>170</ns0:v>
      </ns0:c>
      <ns0:c r="E10" s="8" t="n">
        <ns0:v>46022</ns0:v>
      </ns0:c>
      <ns0:c r="F10" s="4" t="s">
        <ns0:v>171</ns0:v>
      </ns0:c>
      <ns0:c r="G10" s="6" t="n">
        <ns0:v>1595188</ns0:v>
      </ns0:c>
      <ns0:c r="H10" s="4" t="s">
        <ns0:v>140</ns0:v>
      </ns0:c>
      <ns0:c r="I10" s="4"/>
      <ns0:c r="J10" s="4"/>
      <ns0:c r="K10" s="4"/>
      <ns0:c r="L10" s="4"/>
      <ns0:c r="M10" s="4"/>
      <ns0:c r="N10" s="6"/>
      <ns0:c r="O10" s="6">
        <ns0:f aca="0">IF(ISNUMBER(N10),G10-N10,"")</ns0:f>
        <ns0:v/>
      </ns0:c>
      <ns0:c r="P10" s="9" t="s">
        <ns0:v>141</ns0:v>
      </ns0:c>
    </ns0:row>
    <ns0:row r="12" ht="28.350000381469727" hidden="0">
      <ns0:c r="A12" s="4" t="s">
        <ns0:v>172</ns0:v>
      </ns0:c>
      <ns0:c r="B12" s="4"/>
      <ns0:c r="C12" s="4"/>
      <ns0:c r="D12" s="4"/>
      <ns0:c r="E12" s="4"/>
      <ns0:c r="F12" s="4" t="s">
        <ns0:v>173</ns0:v>
      </ns0:c>
      <ns0:c r="G12" s="4">
        <ns0:f aca="0">COUNTIF(P2:P10,"Enviado*")+COUNTIF(P2:P10,"Respondido*")</ns0:f>
        <ns0:v>0</ns0:v>
      </ns0:c>
      <ns0:c r="H12" s="4"/>
      <ns0:c r="I12" s="4"/>
      <ns0:c r="J12" s="4"/>
      <ns0:c r="K12" s="4"/>
      <ns0:c r="L12" s="4"/>
      <ns0:c r="M12" s="4" t="s">
        <ns0:v>174</ns0:v>
      </ns0:c>
      <ns0:c r="N12" s="4">
        <ns0:f aca="0">COUNTIF(P2:P10,"Respondido*")</ns0:f>
        <ns0:v>0</ns0:v>
      </ns0:c>
    </ns0:row>
  </ns0:sheetData>
  <ns0:dataValidations count="1">
    <ns0:dataValidation type="list" errorStyle="stop" operator="between" allowBlank="0" showDropDown="0" showInputMessage="0" showErrorMessage="0" sqref="P2:P10">
      <ns0:formula1>"MODELO NÃO ENVIADO,Enviado,2º pedido enviado,Respondido sem exceção,Respondido com exceção,Não respondido – alternativo,Devolvido"</ns0:formula1>
      <ns0:formula2>0</ns0:formula2>
    </ns0:dataValidation>
  </ns0:dataValidations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Views>
    <ns0:sheetView showGridLines="1" workbookViewId="0">
      <ns0:pane ySplit="1" topLeftCell="A2" activePane="bottomLeft" state="frozen"/>
    </ns0:sheetView>
  </ns0:sheetViews>
  <ns0:sheetFormatPr defaultColWidth="8.6796875" defaultRowHeight="15"/>
  <ns0:cols>
    <ns0:col min="1" max="1" width="8" hidden="0" customWidth="1"/>
    <ns0:col min="2" max="3" width="16" hidden="0" customWidth="1"/>
    <ns0:col min="4" max="4" width="14" hidden="0" customWidth="1"/>
    <ns0:col min="5" max="5" width="30" hidden="0" customWidth="1"/>
    <ns0:col min="6" max="6" width="50" hidden="0" customWidth="1"/>
    <ns0:col min="7" max="7" width="12" hidden="0" customWidth="1"/>
    <ns0:col min="8" max="8" width="30" hidden="0" customWidth="1"/>
  </ns0:cols>
  <ns0:sheetData>
    <ns0:row r="1" ht="28.350000381469727" hidden="0">
      <ns0:c r="A1" s="3" t="s">
        <ns0:v>122</ns0:v>
      </ns0:c>
      <ns0:c r="B1" s="3" t="s">
        <ns0:v>175</ns0:v>
      </ns0:c>
      <ns0:c r="C1" s="3" t="s">
        <ns0:v>176</ns0:v>
      </ns0:c>
      <ns0:c r="D1" s="3" t="s">
        <ns0:v>43</ns0:v>
      </ns0:c>
      <ns0:c r="E1" s="3" t="s">
        <ns0:v>177</ns0:v>
      </ns0:c>
      <ns0:c r="F1" s="3" t="s">
        <ns0:v>178</ns0:v>
      </ns0:c>
      <ns0:c r="G1" s="3" t="s">
        <ns0:v>179</ns0:v>
      </ns0:c>
      <ns0:c r="H1" s="3" t="s">
        <ns0:v>180</ns0:v>
      </ns0:c>
    </ns0:row>
    <ns0:row r="2" ht="55.20000076293945" hidden="0">
      <ns0:c r="A2" s="4" t="s">
        <ns0:v>181</ns0:v>
      </ns0:c>
      <ns0:c r="B2" s="6"/>
      <ns0:c r="C2" s="6"/>
      <ns0:c r="D2" s="6">
        <ns0:f aca="0">IF(AND(ISNUMBER(B2),ISNUMBER(C2)),B2-C2,"")</ns0:f>
        <ns0:v/>
      </ns0:c>
      <ns0:c r="E2" s="4" t="s">
        <ns0:v>182</ns0:v>
      </ns0:c>
      <ns0:c r="F2" s="4" t="s">
        <ns0:v>183</ns0:v>
      </ns0:c>
      <ns0:c r="G2" s="4"/>
      <ns0:c r="H2" s="4"/>
    </ns0:row>
  </ns0:sheetData>
  <ns0:pageMargins left="0.7" right="0.7" top="0.75" bottom="0.75" header="0.3" footer="0.3"/>
</ns0:worksheet>
</file>

<file path=xl/worksheets/sheet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18" hidden="0" customWidth="1"/>
    <x:col min="2" max="2" width="80" hidden="0" customWidth="1"/>
    <x:col min="3" max="3" width="40" hidden="0" customWidth="1"/>
    <x:col min="4" max="4" width="18" hidden="0" customWidth="1"/>
  </x:cols>
  <x:sheetData>
    <x:row r="1" ht="15" hidden="0" customHeight="1">
      <x:c r="A1" s="10" t="s">
        <x:v>8</x:v>
      </x:c>
      <x:c r="B1" s="10" t="s">
        <x:v>184</x:v>
      </x:c>
      <x:c r="C1" s="10" t="s">
        <x:v>185</x:v>
      </x:c>
      <x:c r="D1" s="10" t="s">
        <x:v>186</x:v>
      </x:c>
    </x:row>
    <x:row r="2" ht="26.399999618530273" hidden="0" customHeight="1">
      <x:c r="A2" s="11" t="s">
        <x:v>187</x:v>
      </x:c>
      <x:c r="B2" s="11" t="s">
        <x:v>188</x:v>
      </x:c>
      <x:c r="C2" s="11" t="s">
        <x:v>189</x:v>
      </x:c>
      <x:c r="D2" s="11" t="s">
        <x:v>190</x:v>
      </x:c>
    </x:row>
    <x:row r="3" ht="26.399999618530273" hidden="0" customHeight="1">
      <x:c r="A3" s="11" t="s">
        <x:v>191</x:v>
      </x:c>
      <x:c r="B3" s="11" t="s">
        <x:v>192</x:v>
      </x:c>
      <x:c r="C3" s="11" t="s">
        <x:v>193</x:v>
      </x:c>
      <x:c r="D3" s="11" t="s">
        <x:v>194</x:v>
      </x:c>
    </x:row>
    <x:row r="4" ht="26.399999618530273" hidden="0" customHeight="1">
      <x:c r="A4" s="11" t="s">
        <x:v>14</x:v>
      </x:c>
      <x:c r="B4" s="11" t="s">
        <x:v>195</x:v>
      </x:c>
      <x:c r="C4" s="11" t="s">
        <x:v>193</x:v>
      </x:c>
      <x:c r="D4" s="11" t="s">
        <x:v>196</x:v>
      </x:c>
    </x:row>
    <x:row r="5" ht="26.399999618530273" hidden="0" customHeight="1">
      <x:c r="A5" s="11" t="s">
        <x:v>197</x:v>
      </x:c>
      <x:c r="B5" s="11" t="str">
        <x:v>Contrato; carta de anuência; extrato de amortizações; comunicado de 01/12/2025 (WEB-B10-014)</x:v>
      </x:c>
      <x:c r="C5" s="11" t="s">
        <x:v>198</x:v>
      </x:c>
      <x:c r="D5" s="11" t="s">
        <x:v>199</x:v>
      </x:c>
    </x:row>
    <x:row r="6" ht="26.399999618530273" hidden="0" customHeight="1">
      <x:c r="A6" s="11" t="s">
        <x:v>78</x:v>
      </x:c>
      <x:c r="B6" s="11" t="s">
        <x:v>200</x:v>
      </x:c>
      <x:c r="C6" s="11" t="s">
        <x:v>201</x:v>
      </x:c>
      <x:c r="D6" s="11" t="s">
        <x:v>190</x:v>
      </x:c>
    </x:row>
    <x:row r="7" ht="15" hidden="0" customHeight="1">
      <x:c r="A7" s="11" t="s">
        <x:v>71</x:v>
      </x:c>
      <x:c r="B7" s="11" t="s">
        <x:v>202</x:v>
      </x:c>
      <x:c r="C7" s="11" t="s">
        <x:v>193</x:v>
      </x:c>
      <x:c r="D7" s="11" t="s">
        <x:v>190</x:v>
      </x:c>
    </x:row>
    <x:row r="8" ht="26.399999618530273" hidden="0" customHeight="1">
      <x:c r="A8" s="11" t="s">
        <x:v>167</x:v>
      </x:c>
      <x:c r="B8" s="11" t="s">
        <x:v>203</x:v>
      </x:c>
      <x:c r="C8" s="11" t="s">
        <x:v>193</x:v>
      </x:c>
      <x:c r="D8" s="11" t="s">
        <x:v>204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22" hidden="0" customWidth="1"/>
    <x:col min="2" max="2" width="90" hidden="0" customWidth="1"/>
    <x:col min="3" max="3" width="30" hidden="0" customWidth="1"/>
  </x:cols>
  <x:sheetData>
    <x:row r="1" ht="15" hidden="0">
      <x:c r="A1" s="3" t="s">
        <x:v>205</x:v>
      </x:c>
      <x:c r="B1" s="3" t="s">
        <x:v>206</x:v>
      </x:c>
      <x:c r="C1" s="3" t="s">
        <x:v>207</x:v>
      </x:c>
    </x:row>
    <x:row r="2" ht="15" hidden="0">
      <x:c r="A2" s="4" t="s">
        <x:v>208</x:v>
      </x:c>
      <x:c r="B2" s="4" t="s">
        <x:v>209</x:v>
      </x:c>
      <x:c r="C2" s="4" t="s">
        <x:v>210</x:v>
      </x:c>
    </x:row>
    <x:row r="3" ht="15" hidden="0">
      <x:c r="A3" s="4" t="s">
        <x:v>211</x:v>
      </x:c>
      <x:c r="B3" s="4" t="s">
        <x:v>212</x:v>
      </x:c>
      <x:c r="C3" s="4" t="s">
        <x:v>213</x:v>
      </x:c>
    </x:row>
    <x:row r="4" ht="15" hidden="0">
      <x:c r="A4" s="4" t="s">
        <x:v>214</x:v>
      </x:c>
      <x:c r="B4" s="4" t="s">
        <x:v>215</x:v>
      </x:c>
      <x:c r="C4" s="4" t="s">
        <x:v>216</x:v>
      </x:c>
    </x:row>
    <x:row r="5" ht="28.350000381469727" hidden="0">
      <x:c r="A5" s="4" t="s">
        <x:v>217</x:v>
      </x:c>
      <x:c r="B5" s="4" t="s">
        <x:v>218</x:v>
      </x:c>
      <x:c r="C5" s="4" t="s">
        <x:v>219</x:v>
      </x:c>
    </x:row>
  </x:sheetData>
  <x:pageMargins left="0.7" right="0.7" top="0.75" bottom="0.75" header="0.3" footer="0.3"/>
</x:worksheet>
</file>