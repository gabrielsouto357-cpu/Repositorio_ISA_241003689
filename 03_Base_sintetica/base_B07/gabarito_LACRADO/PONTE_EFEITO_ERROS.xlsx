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nte_efeito_err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<sst xmlns="http://schemas.openxmlformats.org/spreadsheetml/2006/main" count="33" uniqueCount="33">
  <si>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PONTE DE EFEITO DOS ERROS INSERIDOS – LACRADO: não usar como insumo de testes; abrir só no PT 450. Base sintética didática.</t>
  </si>
  <si>
    <t xml:space="preserve">Item</t>
  </si>
  <si>
    <t xml:space="preserve">Saldo 31/12/2025 (R$)</t>
  </si>
  <si>
    <t xml:space="preserve">Resultado 2025 (R$)</t>
  </si>
  <si>
    <t xml:space="preserve">Descrição</t>
  </si>
  <si>
    <t xml:space="preserve">Nº linhas</t>
  </si>
  <si>
    <t xml:space="preserve">Saldo da base de REFERÊNCIA (= publicado × 1.000)</t>
  </si>
  <si>
    <t xml:space="preserve">E01 – Corte (exercício anterior)</t>
  </si>
  <si>
    <t xml:space="preserve">Serviços executados em dez/2024 (data do documento) registrados como receita de 2025</t>
  </si>
  <si>
    <t xml:space="preserve">E02 – Corte (exercício seguinte)</t>
  </si>
  <si>
    <t xml:space="preserve">Medições de serviços de dez/2025 registradas só em jan/2026</t>
  </si>
  <si>
    <t xml:space="preserve">E03 – Duplicidade</t>
  </si>
  <si>
    <t xml:space="preserve">Mesma medição (documento, fornecedor e valor) lançada duas vezes</t>
  </si>
  <si>
    <t xml:space="preserve">E04 – Digitação</t>
  </si>
  <si>
    <t xml:space="preserve">19 transposições de dígitos e 1 valor com um zero a mais (valor ≠ custo × (1 + margem))</t>
  </si>
  <si>
    <t xml:space="preserve">E05 – Lançamento manual sem suporte</t>
  </si>
  <si>
    <t xml:space="preserve">Dois ajustes manuais em 30/12/2025 após 23h, valores redondos, sem documento, lançados e aprovados por U11</t>
  </si>
  <si>
    <t xml:space="preserve">E06 – Estimativa</t>
  </si>
  <si>
    <t xml:space="preserve">Remuneração de out–dez/2025 do 046/2017 com taxa implícita de 9,9% em vez de 6,9%</t>
  </si>
  <si>
    <t xml:space="preserve">E07 – Classificação / ocorrência</t>
  </si>
  <si>
    <t xml:space="preserve">Manutenção corretiva (O&amp;M, custo do período) registrada como receita de infraestrutura e ativo contratual</t>
  </si>
  <si>
    <t xml:space="preserve">E08 – Classificação</t>
  </si>
  <si>
    <t xml:space="preserve">Recebimentos do 027/2017 (IE Itaquerê) aplicados ao 018/2017 (IE Itaúnas)</t>
  </si>
  <si>
    <t xml:space="preserve">E09 – Estimativa</t>
  </si>
  <si>
    <t xml:space="preserve">Perda esperada sobre faturas de O&amp;M inadimplentes constituída a menor em R$ 1,2 milhão</t>
  </si>
  <si>
    <t xml:space="preserve">E10 – Apresentação</t>
  </si>
  <si>
    <t xml:space="preserve">R$ 60 milhões do 046/2017 realizáveis após 12 meses classificados como circulante</t>
  </si>
  <si>
    <t xml:space="preserve">Saldo esperado do TESTE (fórmula)</t>
  </si>
  <si>
    <t xml:space="preserve">Saldo do TESTE somado do arquivo</t>
  </si>
  <si>
    <t xml:space="preserve">Diferença não explicada (deve ser 0)</t>
  </si>
  <si>
    <t xml:space="preserve">Efeito líquido no saldo (R$ mil)</t>
  </si>
  <si>
    <t xml:space="preserve">Efeito / ME (90.000)</t>
  </si>
  <si>
    <t xml:space="preserve">Sem compensação: nenhuma linha da referência foi reduzida para esconder efeito. E01, E08 e E10 não alteram o saldo e só se detectam por testes.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</si>
</sst>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4"/>
    <col collapsed="false" customWidth="true" hidden="false" outlineLevel="0" max="4" min="4" style="0" width="9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0" t="s">
        <v>6</v>
      </c>
      <c r="B4" s="3" t="n">
        <v>36431298000</v>
      </c>
    </row>
    <row r="5" customFormat="false" ht="15" hidden="false" customHeight="false" outlineLevel="0" collapsed="false">
      <c r="A5" s="0" t="s">
        <v>7</v>
      </c>
      <c r="B5" s="3" t="n">
        <v>0</v>
      </c>
      <c r="C5" s="3" t="n">
        <v>3527521.14</v>
      </c>
      <c r="D5" s="4" t="s">
        <v>8</v>
      </c>
      <c r="E5" s="0" t="n">
        <v>150</v>
      </c>
    </row>
    <row r="6" customFormat="false" ht="15" hidden="false" customHeight="false" outlineLevel="0" collapsed="false">
      <c r="A6" s="0" t="s">
        <v>9</v>
      </c>
      <c r="B6" s="3" t="n">
        <v>-7201518.28</v>
      </c>
      <c r="C6" s="3" t="n">
        <v>-7201518.28</v>
      </c>
      <c r="D6" s="4" t="s">
        <v>10</v>
      </c>
      <c r="E6" s="0" t="n">
        <v>273</v>
      </c>
    </row>
    <row r="7" customFormat="false" ht="15" hidden="false" customHeight="false" outlineLevel="0" collapsed="false">
      <c r="A7" s="0" t="s">
        <v>11</v>
      </c>
      <c r="B7" s="3" t="n">
        <v>4893510.12</v>
      </c>
      <c r="C7" s="3" t="n">
        <v>4893510.12</v>
      </c>
      <c r="D7" s="4" t="s">
        <v>12</v>
      </c>
      <c r="E7" s="0" t="n">
        <v>35</v>
      </c>
    </row>
    <row r="8" customFormat="false" ht="15" hidden="false" customHeight="false" outlineLevel="0" collapsed="false">
      <c r="A8" s="0" t="s">
        <v>13</v>
      </c>
      <c r="B8" s="3" t="n">
        <v>7716140.91</v>
      </c>
      <c r="C8" s="3" t="n">
        <v>7716140.91</v>
      </c>
      <c r="D8" s="4" t="s">
        <v>14</v>
      </c>
      <c r="E8" s="0" t="n">
        <v>20</v>
      </c>
    </row>
    <row r="9" customFormat="false" ht="15" hidden="false" customHeight="false" outlineLevel="0" collapsed="false">
      <c r="A9" s="0" t="s">
        <v>15</v>
      </c>
      <c r="B9" s="3" t="n">
        <v>15500000</v>
      </c>
      <c r="C9" s="3" t="n">
        <v>15500000</v>
      </c>
      <c r="D9" s="4" t="s">
        <v>16</v>
      </c>
      <c r="E9" s="0" t="n">
        <v>2</v>
      </c>
    </row>
    <row r="10" customFormat="false" ht="15" hidden="false" customHeight="false" outlineLevel="0" collapsed="false">
      <c r="A10" s="0" t="s">
        <v>17</v>
      </c>
      <c r="B10" s="3" t="n">
        <v>5017651.69</v>
      </c>
      <c r="C10" s="3" t="n">
        <v>5017651.69</v>
      </c>
      <c r="D10" s="4" t="s">
        <v>18</v>
      </c>
      <c r="E10" s="0" t="n">
        <v>3</v>
      </c>
    </row>
    <row r="11" customFormat="false" ht="15" hidden="false" customHeight="false" outlineLevel="0" collapsed="false">
      <c r="A11" s="0" t="s">
        <v>19</v>
      </c>
      <c r="B11" s="3" t="n">
        <v>4600000</v>
      </c>
      <c r="C11" s="3" t="n">
        <v>4600000</v>
      </c>
      <c r="D11" s="4" t="s">
        <v>20</v>
      </c>
      <c r="E11" s="0" t="n">
        <v>60</v>
      </c>
    </row>
    <row r="12" customFormat="false" ht="15" hidden="false" customHeight="false" outlineLevel="0" collapsed="false">
      <c r="A12" s="0" t="s">
        <v>21</v>
      </c>
      <c r="B12" s="3" t="n">
        <v>0</v>
      </c>
      <c r="C12" s="3" t="n">
        <v>0</v>
      </c>
      <c r="D12" s="4" t="s">
        <v>22</v>
      </c>
      <c r="E12" s="0" t="n">
        <v>8</v>
      </c>
    </row>
    <row r="13" customFormat="false" ht="15" hidden="false" customHeight="false" outlineLevel="0" collapsed="false">
      <c r="A13" s="0" t="s">
        <v>23</v>
      </c>
      <c r="B13" s="3" t="n">
        <v>1200000</v>
      </c>
      <c r="C13" s="3" t="n">
        <v>1200000</v>
      </c>
      <c r="D13" s="4" t="s">
        <v>24</v>
      </c>
      <c r="E13" s="0" t="n">
        <v>1</v>
      </c>
    </row>
    <row r="14" customFormat="false" ht="15" hidden="false" customHeight="false" outlineLevel="0" collapsed="false">
      <c r="A14" s="0" t="s">
        <v>25</v>
      </c>
      <c r="B14" s="3" t="n">
        <v>0</v>
      </c>
      <c r="C14" s="3" t="n">
        <v>0</v>
      </c>
      <c r="D14" s="4" t="s">
        <v>26</v>
      </c>
      <c r="E14" s="0" t="n">
        <v>1</v>
      </c>
    </row>
    <row r="15" customFormat="false" ht="15" hidden="false" customHeight="false" outlineLevel="0" collapsed="false">
      <c r="A15" s="5" t="s">
        <v>27</v>
      </c>
      <c r="B15" s="3" t="n">
        <f aca="false">SUM(B4:B14)</f>
        <v>36463023784.44</v>
      </c>
      <c r="C15" s="3" t="n">
        <f aca="false">SUM(C5:C14)</f>
        <v>35253305.58</v>
      </c>
    </row>
    <row r="16" customFormat="false" ht="15" hidden="false" customHeight="false" outlineLevel="0" collapsed="false">
      <c r="A16" s="0" t="s">
        <v>28</v>
      </c>
      <c r="B16" s="3" t="n">
        <v>36463023784.44</v>
      </c>
    </row>
    <row r="17" customFormat="false" ht="15" hidden="false" customHeight="false" outlineLevel="0" collapsed="false">
      <c r="A17" s="5" t="s">
        <v>29</v>
      </c>
      <c r="B17" s="3" t="n">
        <f aca="false">ROUND(B15-B16,2)</f>
        <v>0</v>
      </c>
    </row>
    <row r="18" customFormat="false" ht="15" hidden="false" customHeight="false" outlineLevel="0" collapsed="false">
      <c r="A18" s="0" t="s">
        <v>30</v>
      </c>
      <c r="B18" s="0" t="n">
        <f aca="false">ROUND(SUM(B5:B14)/1000,3)</f>
        <v>31725.784</v>
      </c>
    </row>
    <row r="19" customFormat="false" ht="15" hidden="false" customHeight="false" outlineLevel="0" collapsed="false">
      <c r="A19" s="0" t="s">
        <v>31</v>
      </c>
      <c r="B19" s="6" t="n">
        <f aca="false">B18/90000</f>
        <v>0.352508711111111</v>
      </c>
    </row>
    <row r="21" customFormat="false" ht="15" hidden="false" customHeight="false" outlineLevel="0" collapsed="false">
      <c r="A21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2026-10-21T02:40:21Z</dcterms:created>
  <dc:creator>openpyxl</dc:creator>
  <dc:description/>
  <dc:language>en-US</dc:language>
  <cp:lastModifiedBy/>
  <dcterms:modified xsi:type="dcterms:W3CDTF">2026-10-21T02:40:21Z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