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" sheetId="1" state="visible" r:id="rId3"/>
    <sheet name="Ponte_unidades" sheetId="2" state="visible" r:id="rId4"/>
    <sheet name="C_REFERENCIA" sheetId="3" state="visible" r:id="rId5"/>
    <sheet name="Subgrupos_REF" sheetId="4" state="visible" r:id="rId6"/>
    <sheet name="C_TESTE" sheetId="5" state="visible" r:id="rId7"/>
    <sheet name="Subgrupos_TESTE" sheetId="6" state="visible" r:id="rId8"/>
    <sheet name="Arredondament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<sst xmlns="http://schemas.openxmlformats.org/spreadsheetml/2006/main" count="620" uniqueCount="143">
  <si>
    <t xml:space="preserve">CONCILIAÇÃO DA BASE SINTÉTICA – Bloco 07 – matrícula 241003689 – execução assistida por IA – revisão humana: ____________ (em branco)</t>
  </si>
  <si>
    <t xml:space="preserve">Natureza: base SINTÉTICA para fins didáticos [SD]. Os totais por grupo reproduzem as demonstrações publicadas (F0003); a abertura em contratos, meses, linhas, usuários e fornecedores é simulada.</t>
  </si>
  <si>
    <t xml:space="preserve">Os registros NÃO são dados internos da ISA Energia Brasil e não demonstram nada sobre os registros reais da companhia.</t>
  </si>
  <si>
    <t xml:space="preserve">Abas: Ponte_unidades | C_REFERENCIA (C1–C7) | Subgrupos_REF | C_TESTE (mesmas conferências; diferença agregada a investigar) | Subgrupos_TESTE | Arredondamento.</t>
  </si>
  <si>
    <t xml:space="preserve">Precisão: somas em centavos inteiros (int64) no script; a planilha recebe R$ com 2 casas e converte para R$ mil com ROUND. Não há ajuste de fechamento.</t>
  </si>
  <si>
    <t xml:space="preserve">Cenário de TESTE: diferenças vêm de erros inseridos de propósito, documentados só no gabarito lacrado (gabarito_LACRADO/), que não é insumo desta conciliação nem dos testes; abrir só no PT 450.</t>
  </si>
  <si>
    <t xml:space="preserve">Passo</t>
  </si>
  <si>
    <t xml:space="preserve">Valor</t>
  </si>
  <si>
    <t xml:space="preserve">Unidade</t>
  </si>
  <si>
    <t xml:space="preserve">Fórmula / origem</t>
  </si>
  <si>
    <t xml:space="preserve">Soma da base de referência</t>
  </si>
  <si>
    <t xml:space="preserve">centavos</t>
  </si>
  <si>
    <t xml:space="preserve">Σ int64 de valor_movimento_brl × 100 (script)</t>
  </si>
  <si>
    <t xml:space="preserve">Em reais</t>
  </si>
  <si>
    <t xml:space="preserve">R$</t>
  </si>
  <si>
    <t xml:space="preserve">B2/100</t>
  </si>
  <si>
    <t xml:space="preserve">Em milhares de reais</t>
  </si>
  <si>
    <t xml:space="preserve">R$ mil</t>
  </si>
  <si>
    <t xml:space="preserve">B3/1000 (escala das DFs)</t>
  </si>
  <si>
    <t xml:space="preserve">Publicado – balanço consolidado 31/12/2025</t>
  </si>
  <si>
    <t xml:space="preserve">F0003 p.23</t>
  </si>
  <si>
    <t xml:space="preserve">Diferença</t>
  </si>
  <si>
    <t xml:space="preserve">Deve ser 0</t>
  </si>
  <si>
    <t xml:space="preserve">Moeda</t>
  </si>
  <si>
    <t xml:space="preserve">BRL</t>
  </si>
  <si>
    <t xml:space="preserve">Real; sem conversão cambial (operações em reais)</t>
  </si>
  <si>
    <t xml:space="preserve">Conciliação – cenário REFERÊNCIA – base SINTÉTICA didática (não são dados internos da ISA Energia Brasil)</t>
  </si>
  <si>
    <t xml:space="preserve">Células amarelas = valores publicados digitados (F0003). Colunas C e E = fórmulas. Valores da base somados em centavos inteiros pelo script conciliar.py.</t>
  </si>
  <si>
    <t xml:space="preserve">C1 – Soma de todas as linhas (abertura + fluxos) = saldo de 31/12/2025</t>
  </si>
  <si>
    <t xml:space="preserve">Item</t>
  </si>
  <si>
    <t xml:space="preserve">Base sintética (R$)</t>
  </si>
  <si>
    <t xml:space="preserve">Base (R$ mil) = B/1000</t>
  </si>
  <si>
    <t xml:space="preserve">Publicado (R$ mil)</t>
  </si>
  <si>
    <t xml:space="preserve">Diferença (R$ mil) = C − D</t>
  </si>
  <si>
    <t xml:space="preserve">Fonte do publicado</t>
  </si>
  <si>
    <t xml:space="preserve">Ativos da concessão – consolidado</t>
  </si>
  <si>
    <t xml:space="preserve">F0003 p.23 (4.106.084 + 32.325.214); p.45</t>
  </si>
  <si>
    <t xml:space="preserve">C2 – Saldo por componente (nota 5.3)</t>
  </si>
  <si>
    <t xml:space="preserve">Serviços de O&amp;M (ativo financeiro)</t>
  </si>
  <si>
    <t xml:space="preserve">F0003 p.45</t>
  </si>
  <si>
    <t xml:space="preserve">Lei 12.783 – SE – componente financeiro</t>
  </si>
  <si>
    <t xml:space="preserve">Lei 12.783 – SE – componente econômico</t>
  </si>
  <si>
    <t xml:space="preserve">Implementação da infraestrutura</t>
  </si>
  <si>
    <t xml:space="preserve">Total C2</t>
  </si>
  <si>
    <t xml:space="preserve">C3 – Subtotal ativo contratual (assunto principal de auditoria)</t>
  </si>
  <si>
    <t xml:space="preserve">SE financeiro + SE econômico + implementação</t>
  </si>
  <si>
    <t xml:space="preserve">F0003 p.45 e p.136 (KAM)</t>
  </si>
  <si>
    <t xml:space="preserve">C4 – Movimentação do exercício por linha da nota 5.5 (consolidado)</t>
  </si>
  <si>
    <t xml:space="preserve">Saldo de abertura 31/12/2024</t>
  </si>
  <si>
    <t xml:space="preserve">F0003 p.47</t>
  </si>
  <si>
    <t xml:space="preserve">Receita de infraestrutura</t>
  </si>
  <si>
    <t xml:space="preserve">Ganho (perda) de eficiência</t>
  </si>
  <si>
    <t xml:space="preserve">Remuneração dos ativos de concessão</t>
  </si>
  <si>
    <t xml:space="preserve">Receita de O&amp;M</t>
  </si>
  <si>
    <t xml:space="preserve">Revisão tarifária periódica (RTP)</t>
  </si>
  <si>
    <t xml:space="preserve">Perda esperada</t>
  </si>
  <si>
    <t xml:space="preserve">Recebimentos</t>
  </si>
  <si>
    <t xml:space="preserve">Reclassificações entre subcontas</t>
  </si>
  <si>
    <t xml:space="preserve">Saldo final 31/12/2025 (Σ C4)</t>
  </si>
  <si>
    <t xml:space="preserve">Linhas por tipo_movimento: infraestrutura = RECEITA_INFRA + PROVISAO_MEDICAO + ESTORNO_PROVISAO (+ AJUSTE_MANUAL, se houver); remuneração inclui o ajuste RBSE da REH 3.466/2025 (−898.790).</t>
  </si>
  <si>
    <t xml:space="preserve">C5 – Controladora (campo grupo)</t>
  </si>
  <si>
    <t xml:space="preserve">Saldo de abertura 31/12/2024 – controladora</t>
  </si>
  <si>
    <t xml:space="preserve">Saldo 31/12/2025 – controladora</t>
  </si>
  <si>
    <t xml:space="preserve">F0003 p.23, p.45</t>
  </si>
  <si>
    <t xml:space="preserve">Receita de infraestrutura – controladora</t>
  </si>
  <si>
    <t xml:space="preserve">Receita de O&amp;M – controladora</t>
  </si>
  <si>
    <t xml:space="preserve">C6 – Tabela de saldos: circulante × não circulante</t>
  </si>
  <si>
    <t xml:space="preserve">Circulante 31/12/2025</t>
  </si>
  <si>
    <t xml:space="preserve">Não circulante 31/12/2025</t>
  </si>
  <si>
    <t xml:space="preserve">Circulante 31/12/2024</t>
  </si>
  <si>
    <t xml:space="preserve">Saldo 31/12/2024 (tabela de saldos)</t>
  </si>
  <si>
    <t xml:space="preserve">Saldos (estoques) só se somam dentro da mesma data-base; nunca somados aos fluxos.</t>
  </si>
  <si>
    <t xml:space="preserve">C7 – Por contrato e componente: abertura (lançamentos) = saldo 2024 (tabela) e abertura + fluxos = saldo 2025 (tabela)</t>
  </si>
  <si>
    <t xml:space="preserve">Contrato</t>
  </si>
  <si>
    <t xml:space="preserve">Componente</t>
  </si>
  <si>
    <t xml:space="preserve">Abertura – lançamentos (R$)</t>
  </si>
  <si>
    <t xml:space="preserve">Saldo 31/12/2024 – tabela (R$)</t>
  </si>
  <si>
    <t xml:space="preserve">Σ fluxos 2025 (R$)</t>
  </si>
  <si>
    <t xml:space="preserve">Saldo 31/12/2025 – tabela (R$)</t>
  </si>
  <si>
    <t xml:space="preserve">Dif. abertura = C − D</t>
  </si>
  <si>
    <t xml:space="preserve">Dif. fechamento = C + E − F</t>
  </si>
  <si>
    <t xml:space="preserve">001/2008</t>
  </si>
  <si>
    <t xml:space="preserve">IMPL</t>
  </si>
  <si>
    <t xml:space="preserve">OEM</t>
  </si>
  <si>
    <t xml:space="preserve">001/2020</t>
  </si>
  <si>
    <t xml:space="preserve">004/2007</t>
  </si>
  <si>
    <t xml:space="preserve">005/2021</t>
  </si>
  <si>
    <t xml:space="preserve">006/2020</t>
  </si>
  <si>
    <t xml:space="preserve">006/2023</t>
  </si>
  <si>
    <t xml:space="preserve">007/2020</t>
  </si>
  <si>
    <t xml:space="preserve">008/2022</t>
  </si>
  <si>
    <t xml:space="preserve">011/2022</t>
  </si>
  <si>
    <t xml:space="preserve">012/2008</t>
  </si>
  <si>
    <t xml:space="preserve">012/2016</t>
  </si>
  <si>
    <t xml:space="preserve">012/2018</t>
  </si>
  <si>
    <t xml:space="preserve">012/2023</t>
  </si>
  <si>
    <t xml:space="preserve">013/2008</t>
  </si>
  <si>
    <t xml:space="preserve">014/2023</t>
  </si>
  <si>
    <t xml:space="preserve">015/2008</t>
  </si>
  <si>
    <t xml:space="preserve">016/2008</t>
  </si>
  <si>
    <t xml:space="preserve">018/2008</t>
  </si>
  <si>
    <t xml:space="preserve">018/2017</t>
  </si>
  <si>
    <t xml:space="preserve">021/2011</t>
  </si>
  <si>
    <t xml:space="preserve">021/2018</t>
  </si>
  <si>
    <t xml:space="preserve">026/2009</t>
  </si>
  <si>
    <t xml:space="preserve">026/2017</t>
  </si>
  <si>
    <t xml:space="preserve">027/2017</t>
  </si>
  <si>
    <t xml:space="preserve">042/2017</t>
  </si>
  <si>
    <t xml:space="preserve">046/2017</t>
  </si>
  <si>
    <t xml:space="preserve">059/2001</t>
  </si>
  <si>
    <t xml:space="preserve">SE_ECO</t>
  </si>
  <si>
    <t xml:space="preserve">SE_FIN</t>
  </si>
  <si>
    <t xml:space="preserve">143/2001</t>
  </si>
  <si>
    <t xml:space="preserve">Totais</t>
  </si>
  <si>
    <t xml:space="preserve">Pares contrato × componente com diferença ≠ 0</t>
  </si>
  <si>
    <t xml:space="preserve">Valores por subgrupo – cenário REFERÊNCIA (R$; base sintética). Tabela dinâmica estática: contrato × tipo de movimento</t>
  </si>
  <si>
    <t xml:space="preserve">Grupo</t>
  </si>
  <si>
    <t xml:space="preserve">EFICIENCIA</t>
  </si>
  <si>
    <t xml:space="preserve">ESTORNO_PROVISAO</t>
  </si>
  <si>
    <t xml:space="preserve">PERDA_ESPERADA</t>
  </si>
  <si>
    <t xml:space="preserve">PROVISAO_MEDICAO</t>
  </si>
  <si>
    <t xml:space="preserve">RECEBIMENTO</t>
  </si>
  <si>
    <t xml:space="preserve">RECEITA_INFRA</t>
  </si>
  <si>
    <t xml:space="preserve">RECEITA_OEM</t>
  </si>
  <si>
    <t xml:space="preserve">RECLASSIFICACAO</t>
  </si>
  <si>
    <t xml:space="preserve">REMUNERACAO</t>
  </si>
  <si>
    <t xml:space="preserve">RTP</t>
  </si>
  <si>
    <t xml:space="preserve">SALDO_ABERTURA</t>
  </si>
  <si>
    <t xml:space="preserve">SALDO_ABERTURA_PERDA_ESPERADA</t>
  </si>
  <si>
    <t xml:space="preserve">Total (fórmula)</t>
  </si>
  <si>
    <t xml:space="preserve">Nº de linhas</t>
  </si>
  <si>
    <t xml:space="preserve">Controlada</t>
  </si>
  <si>
    <t xml:space="preserve">Controladora</t>
  </si>
  <si>
    <t xml:space="preserve">Total</t>
  </si>
  <si>
    <t xml:space="preserve">Conciliação – cenário TESTE – base SINTÉTICA didática (não são dados internos da ISA Energia Brasil)</t>
  </si>
  <si>
    <t xml:space="preserve">TESTE: a diferença em C1 é a "diferença a investigar" (razão sintético × balanço). Não é ajustada nem atribuída aqui; a explicação será obtida pelos testes (PT 500/520/530).</t>
  </si>
  <si>
    <t xml:space="preserve">Valores por subgrupo – cenário TESTE (R$; base sintética). Tabela dinâmica estática: contrato × tipo de movimento</t>
  </si>
  <si>
    <t xml:space="preserve">AJUSTE_MANUAL</t>
  </si>
  <si>
    <t xml:space="preserve">Base (R$)</t>
  </si>
  <si>
    <t xml:space="preserve">Base (R$ mil) sem arredondar</t>
  </si>
  <si>
    <t xml:space="preserve">Base arredondada (R$ mil)</t>
  </si>
  <si>
    <t xml:space="preserve">Resíduo de arredondamento (R$ mil)</t>
  </si>
  <si>
    <t xml:space="preserve">Por desenho, cada total da base = publicado × 1.000 exatamente (alocação por maiores restos em centavos); o resíduo esperado é 0. Se as DFs têm arredondamento próprio entre linhas, ele não é recriado nem compensado na base.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</si>
</sst>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0"/>
    <numFmt numFmtId="167" formatCode="#,##0.00;[RED]\-#,##0.00"/>
    <numFmt numFmtId="168" formatCode="#,##0.000;[RED]\-#,##0.000"/>
    <numFmt numFmtId="169" formatCode="#,##0;[RED]\-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5" hidden="false" customHeight="false" outlineLevel="0" collapsed="false">
      <c r="A2" s="0" t="s">
        <v>10</v>
      </c>
      <c r="B2" s="2" t="n">
        <v>3643129800000</v>
      </c>
      <c r="C2" s="3" t="s">
        <v>11</v>
      </c>
      <c r="D2" s="3" t="s">
        <v>12</v>
      </c>
    </row>
    <row r="3" customFormat="false" ht="15" hidden="false" customHeight="false" outlineLevel="0" collapsed="false">
      <c r="A3" s="0" t="s">
        <v>13</v>
      </c>
      <c r="B3" s="2" t="n">
        <f aca="false">B2/100</f>
        <v>36431298000</v>
      </c>
      <c r="C3" s="3" t="s">
        <v>14</v>
      </c>
      <c r="D3" s="3" t="s">
        <v>15</v>
      </c>
    </row>
    <row r="4" customFormat="false" ht="15" hidden="false" customHeight="false" outlineLevel="0" collapsed="false">
      <c r="A4" s="0" t="s">
        <v>16</v>
      </c>
      <c r="B4" s="4" t="n">
        <f aca="false">B3/1000</f>
        <v>36431298</v>
      </c>
      <c r="C4" s="3" t="s">
        <v>17</v>
      </c>
      <c r="D4" s="3" t="s">
        <v>18</v>
      </c>
    </row>
    <row r="5" customFormat="false" ht="15" hidden="false" customHeight="false" outlineLevel="0" collapsed="false">
      <c r="A5" s="0" t="s">
        <v>19</v>
      </c>
      <c r="B5" s="4" t="n">
        <v>36431298</v>
      </c>
      <c r="C5" s="3" t="s">
        <v>17</v>
      </c>
      <c r="D5" s="3" t="s">
        <v>20</v>
      </c>
    </row>
    <row r="6" customFormat="false" ht="15" hidden="false" customHeight="false" outlineLevel="0" collapsed="false">
      <c r="A6" s="0" t="s">
        <v>21</v>
      </c>
      <c r="B6" s="4" t="n">
        <f aca="false">ROUND(B4-B5,3)</f>
        <v>0</v>
      </c>
      <c r="C6" s="3" t="s">
        <v>17</v>
      </c>
      <c r="D6" s="3" t="s">
        <v>22</v>
      </c>
    </row>
    <row r="7" customFormat="false" ht="15" hidden="false" customHeight="false" outlineLevel="0" collapsed="false">
      <c r="A7" s="0" t="s">
        <v>23</v>
      </c>
      <c r="B7" s="2" t="s">
        <v>24</v>
      </c>
      <c r="D7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8" min="7" style="0" width="18"/>
  </cols>
  <sheetData>
    <row r="1" customFormat="false" ht="16.15" hidden="false" customHeight="false" outlineLevel="0" collapsed="false">
      <c r="A1" s="5" t="s">
        <v>26</v>
      </c>
    </row>
    <row r="2" customFormat="false" ht="15" hidden="false" customHeight="false" outlineLevel="0" collapsed="false">
      <c r="A2" s="0" t="s">
        <v>27</v>
      </c>
    </row>
    <row r="4" customFormat="false" ht="15" hidden="false" customHeight="false" outlineLevel="0" collapsed="false">
      <c r="A4" s="6" t="s">
        <v>28</v>
      </c>
    </row>
    <row r="5" customFormat="false" ht="28.35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</row>
    <row r="6" customFormat="false" ht="15" hidden="false" customHeight="false" outlineLevel="0" collapsed="false">
      <c r="A6" s="0" t="s">
        <v>35</v>
      </c>
      <c r="B6" s="7" t="n">
        <v>36431298000</v>
      </c>
      <c r="C6" s="8" t="n">
        <f aca="false">ROUND(B6/1000,3)</f>
        <v>36431298</v>
      </c>
      <c r="D6" s="9" t="n">
        <v>36431298</v>
      </c>
      <c r="E6" s="8" t="n">
        <f aca="false">ROUND(C6-D6,3)</f>
        <v>0</v>
      </c>
      <c r="F6" s="3" t="s">
        <v>36</v>
      </c>
    </row>
    <row r="8" customFormat="false" ht="15" hidden="false" customHeight="false" outlineLevel="0" collapsed="false">
      <c r="A8" s="6" t="s">
        <v>37</v>
      </c>
    </row>
    <row r="9" customFormat="false" ht="28.35" hidden="false" customHeight="false" outlineLevel="0" collapsed="false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</row>
    <row r="10" customFormat="false" ht="15" hidden="false" customHeight="false" outlineLevel="0" collapsed="false">
      <c r="A10" s="0" t="s">
        <v>38</v>
      </c>
      <c r="B10" s="7" t="n">
        <v>158263000</v>
      </c>
      <c r="C10" s="8" t="n">
        <f aca="false">ROUND(B10/1000,3)</f>
        <v>158263</v>
      </c>
      <c r="D10" s="9" t="n">
        <v>158263</v>
      </c>
      <c r="E10" s="8" t="n">
        <f aca="false">ROUND(C10-D10,3)</f>
        <v>0</v>
      </c>
      <c r="F10" s="3" t="s">
        <v>39</v>
      </c>
    </row>
    <row r="11" customFormat="false" ht="15" hidden="false" customHeight="false" outlineLevel="0" collapsed="false">
      <c r="A11" s="0" t="s">
        <v>40</v>
      </c>
      <c r="B11" s="7" t="n">
        <v>3112255000</v>
      </c>
      <c r="C11" s="8" t="n">
        <f aca="false">ROUND(B11/1000,3)</f>
        <v>3112255</v>
      </c>
      <c r="D11" s="9" t="n">
        <v>3112255</v>
      </c>
      <c r="E11" s="8" t="n">
        <f aca="false">ROUND(C11-D11,3)</f>
        <v>0</v>
      </c>
      <c r="F11" s="3" t="s">
        <v>39</v>
      </c>
    </row>
    <row r="12" customFormat="false" ht="15" hidden="false" customHeight="false" outlineLevel="0" collapsed="false">
      <c r="A12" s="0" t="s">
        <v>41</v>
      </c>
      <c r="B12" s="7" t="n">
        <v>3111847000</v>
      </c>
      <c r="C12" s="8" t="n">
        <f aca="false">ROUND(B12/1000,3)</f>
        <v>3111847</v>
      </c>
      <c r="D12" s="9" t="n">
        <v>3111847</v>
      </c>
      <c r="E12" s="8" t="n">
        <f aca="false">ROUND(C12-D12,3)</f>
        <v>0</v>
      </c>
      <c r="F12" s="3" t="s">
        <v>39</v>
      </c>
    </row>
    <row r="13" customFormat="false" ht="15" hidden="false" customHeight="false" outlineLevel="0" collapsed="false">
      <c r="A13" s="0" t="s">
        <v>42</v>
      </c>
      <c r="B13" s="7" t="n">
        <v>30048933000</v>
      </c>
      <c r="C13" s="8" t="n">
        <f aca="false">ROUND(B13/1000,3)</f>
        <v>30048933</v>
      </c>
      <c r="D13" s="9" t="n">
        <v>30048933</v>
      </c>
      <c r="E13" s="8" t="n">
        <f aca="false">ROUND(C13-D13,3)</f>
        <v>0</v>
      </c>
      <c r="F13" s="3" t="s">
        <v>39</v>
      </c>
    </row>
    <row r="14" customFormat="false" ht="15" hidden="false" customHeight="false" outlineLevel="0" collapsed="false">
      <c r="A14" s="10" t="s">
        <v>43</v>
      </c>
      <c r="B14" s="7" t="n">
        <f aca="false">SUM(B10:B13)</f>
        <v>36431298000</v>
      </c>
      <c r="C14" s="8" t="n">
        <f aca="false">ROUND(B14/1000,3)</f>
        <v>36431298</v>
      </c>
      <c r="D14" s="11" t="n">
        <f aca="false">SUM(D10:D13)</f>
        <v>36431298</v>
      </c>
      <c r="E14" s="8" t="n">
        <f aca="false">ROUND(C14-D14,3)</f>
        <v>0</v>
      </c>
    </row>
    <row r="16" customFormat="false" ht="15" hidden="false" customHeight="false" outlineLevel="0" collapsed="false">
      <c r="A16" s="6" t="s">
        <v>44</v>
      </c>
    </row>
    <row r="17" customFormat="false" ht="28.35" hidden="false" customHeight="false" outlineLevel="0" collapsed="false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34</v>
      </c>
    </row>
    <row r="18" customFormat="false" ht="15" hidden="false" customHeight="false" outlineLevel="0" collapsed="false">
      <c r="A18" s="0" t="s">
        <v>45</v>
      </c>
      <c r="B18" s="7" t="n">
        <v>36273035000</v>
      </c>
      <c r="C18" s="8" t="n">
        <f aca="false">ROUND(B18/1000,3)</f>
        <v>36273035</v>
      </c>
      <c r="D18" s="9" t="n">
        <v>36273035</v>
      </c>
      <c r="E18" s="8" t="n">
        <f aca="false">ROUND(C18-D18,3)</f>
        <v>0</v>
      </c>
      <c r="F18" s="3" t="s">
        <v>46</v>
      </c>
    </row>
    <row r="20" customFormat="false" ht="15" hidden="false" customHeight="false" outlineLevel="0" collapsed="false">
      <c r="A20" s="6" t="s">
        <v>47</v>
      </c>
    </row>
    <row r="21" customFormat="false" ht="28.35" hidden="false" customHeight="false" outlineLevel="0" collapsed="false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34</v>
      </c>
    </row>
    <row r="22" customFormat="false" ht="15" hidden="false" customHeight="false" outlineLevel="0" collapsed="false">
      <c r="A22" s="0" t="s">
        <v>48</v>
      </c>
      <c r="B22" s="7" t="n">
        <v>31046823000</v>
      </c>
      <c r="C22" s="8" t="n">
        <f aca="false">ROUND(B22/1000,3)</f>
        <v>31046823</v>
      </c>
      <c r="D22" s="9" t="n">
        <v>31046823</v>
      </c>
      <c r="E22" s="8" t="n">
        <f aca="false">ROUND(C22-D22,3)</f>
        <v>0</v>
      </c>
      <c r="F22" s="3" t="s">
        <v>49</v>
      </c>
    </row>
    <row r="23" customFormat="false" ht="15" hidden="false" customHeight="false" outlineLevel="0" collapsed="false">
      <c r="A23" s="0" t="s">
        <v>50</v>
      </c>
      <c r="B23" s="7" t="n">
        <v>6330048000</v>
      </c>
      <c r="C23" s="8" t="n">
        <f aca="false">ROUND(B23/1000,3)</f>
        <v>6330048</v>
      </c>
      <c r="D23" s="9" t="n">
        <v>6330048</v>
      </c>
      <c r="E23" s="8" t="n">
        <f aca="false">ROUND(C23-D23,3)</f>
        <v>0</v>
      </c>
      <c r="F23" s="3" t="s">
        <v>49</v>
      </c>
    </row>
    <row r="24" customFormat="false" ht="15" hidden="false" customHeight="false" outlineLevel="0" collapsed="false">
      <c r="A24" s="0" t="s">
        <v>51</v>
      </c>
      <c r="B24" s="7" t="n">
        <v>-10513000</v>
      </c>
      <c r="C24" s="8" t="n">
        <f aca="false">ROUND(B24/1000,3)</f>
        <v>-10513</v>
      </c>
      <c r="D24" s="9" t="n">
        <v>-10513</v>
      </c>
      <c r="E24" s="8" t="n">
        <f aca="false">ROUND(C24-D24,3)</f>
        <v>0</v>
      </c>
      <c r="F24" s="3" t="s">
        <v>49</v>
      </c>
    </row>
    <row r="25" customFormat="false" ht="15" hidden="false" customHeight="false" outlineLevel="0" collapsed="false">
      <c r="A25" s="0" t="s">
        <v>52</v>
      </c>
      <c r="B25" s="7" t="n">
        <v>2949237000</v>
      </c>
      <c r="C25" s="8" t="n">
        <f aca="false">ROUND(B25/1000,3)</f>
        <v>2949237</v>
      </c>
      <c r="D25" s="9" t="n">
        <v>2949237</v>
      </c>
      <c r="E25" s="8" t="n">
        <f aca="false">ROUND(C25-D25,3)</f>
        <v>0</v>
      </c>
      <c r="F25" s="3" t="s">
        <v>49</v>
      </c>
    </row>
    <row r="26" customFormat="false" ht="15" hidden="false" customHeight="false" outlineLevel="0" collapsed="false">
      <c r="A26" s="0" t="s">
        <v>53</v>
      </c>
      <c r="B26" s="7" t="n">
        <v>1264867000</v>
      </c>
      <c r="C26" s="8" t="n">
        <f aca="false">ROUND(B26/1000,3)</f>
        <v>1264867</v>
      </c>
      <c r="D26" s="9" t="n">
        <v>1264867</v>
      </c>
      <c r="E26" s="8" t="n">
        <f aca="false">ROUND(C26-D26,3)</f>
        <v>0</v>
      </c>
      <c r="F26" s="3" t="s">
        <v>49</v>
      </c>
    </row>
    <row r="27" customFormat="false" ht="15" hidden="false" customHeight="false" outlineLevel="0" collapsed="false">
      <c r="A27" s="0" t="s">
        <v>54</v>
      </c>
      <c r="B27" s="7" t="n">
        <v>159203000</v>
      </c>
      <c r="C27" s="8" t="n">
        <f aca="false">ROUND(B27/1000,3)</f>
        <v>159203</v>
      </c>
      <c r="D27" s="9" t="n">
        <v>159203</v>
      </c>
      <c r="E27" s="8" t="n">
        <f aca="false">ROUND(C27-D27,3)</f>
        <v>0</v>
      </c>
      <c r="F27" s="3" t="s">
        <v>49</v>
      </c>
    </row>
    <row r="28" customFormat="false" ht="15" hidden="false" customHeight="false" outlineLevel="0" collapsed="false">
      <c r="A28" s="0" t="s">
        <v>55</v>
      </c>
      <c r="B28" s="7" t="n">
        <v>-4286000</v>
      </c>
      <c r="C28" s="8" t="n">
        <f aca="false">ROUND(B28/1000,3)</f>
        <v>-4286</v>
      </c>
      <c r="D28" s="9" t="n">
        <v>-4286</v>
      </c>
      <c r="E28" s="8" t="n">
        <f aca="false">ROUND(C28-D28,3)</f>
        <v>0</v>
      </c>
      <c r="F28" s="3" t="s">
        <v>49</v>
      </c>
    </row>
    <row r="29" customFormat="false" ht="15" hidden="false" customHeight="false" outlineLevel="0" collapsed="false">
      <c r="A29" s="0" t="s">
        <v>56</v>
      </c>
      <c r="B29" s="7" t="n">
        <v>-5304081000</v>
      </c>
      <c r="C29" s="8" t="n">
        <f aca="false">ROUND(B29/1000,3)</f>
        <v>-5304081</v>
      </c>
      <c r="D29" s="9" t="n">
        <v>-5304081</v>
      </c>
      <c r="E29" s="8" t="n">
        <f aca="false">ROUND(C29-D29,3)</f>
        <v>0</v>
      </c>
      <c r="F29" s="3" t="s">
        <v>49</v>
      </c>
    </row>
    <row r="30" customFormat="false" ht="15" hidden="false" customHeight="false" outlineLevel="0" collapsed="false">
      <c r="A30" s="0" t="s">
        <v>57</v>
      </c>
      <c r="B30" s="7" t="n">
        <v>0</v>
      </c>
      <c r="C30" s="8" t="n">
        <f aca="false">ROUND(B30/1000,3)</f>
        <v>0</v>
      </c>
      <c r="D30" s="9" t="n">
        <v>0</v>
      </c>
      <c r="E30" s="8" t="n">
        <f aca="false">ROUND(C30-D30,3)</f>
        <v>0</v>
      </c>
      <c r="F30" s="3" t="s">
        <v>49</v>
      </c>
    </row>
    <row r="31" customFormat="false" ht="15" hidden="false" customHeight="false" outlineLevel="0" collapsed="false">
      <c r="A31" s="10" t="s">
        <v>58</v>
      </c>
      <c r="B31" s="7" t="n">
        <f aca="false">SUM(B22:B30)</f>
        <v>36431298000</v>
      </c>
      <c r="C31" s="8" t="n">
        <f aca="false">ROUND(B31/1000,3)</f>
        <v>36431298</v>
      </c>
      <c r="D31" s="11" t="n">
        <f aca="false">SUM(D22:D30)</f>
        <v>36431298</v>
      </c>
      <c r="E31" s="8" t="n">
        <f aca="false">ROUND(C31-D31,3)</f>
        <v>0</v>
      </c>
    </row>
    <row r="32" customFormat="false" ht="15" hidden="false" customHeight="false" outlineLevel="0" collapsed="false">
      <c r="A32" s="12" t="s">
        <v>59</v>
      </c>
    </row>
    <row r="34" customFormat="false" ht="15" hidden="false" customHeight="false" outlineLevel="0" collapsed="false">
      <c r="A34" s="6" t="s">
        <v>60</v>
      </c>
    </row>
    <row r="35" customFormat="false" ht="28.35" hidden="false" customHeight="false" outlineLevel="0" collapsed="false">
      <c r="A35" s="1" t="s">
        <v>29</v>
      </c>
      <c r="B35" s="1" t="s">
        <v>30</v>
      </c>
      <c r="C35" s="1" t="s">
        <v>31</v>
      </c>
      <c r="D35" s="1" t="s">
        <v>32</v>
      </c>
      <c r="E35" s="1" t="s">
        <v>33</v>
      </c>
      <c r="F35" s="1" t="s">
        <v>34</v>
      </c>
    </row>
    <row r="36" customFormat="false" ht="15" hidden="false" customHeight="false" outlineLevel="0" collapsed="false">
      <c r="A36" s="0" t="s">
        <v>61</v>
      </c>
      <c r="B36" s="7" t="n">
        <v>23710183000</v>
      </c>
      <c r="C36" s="8" t="n">
        <f aca="false">ROUND(B36/1000,3)</f>
        <v>23710183</v>
      </c>
      <c r="D36" s="9" t="n">
        <v>23710183</v>
      </c>
      <c r="E36" s="8" t="n">
        <f aca="false">ROUND(C36-D36,3)</f>
        <v>0</v>
      </c>
      <c r="F36" s="3" t="s">
        <v>39</v>
      </c>
    </row>
    <row r="37" customFormat="false" ht="15" hidden="false" customHeight="false" outlineLevel="0" collapsed="false">
      <c r="A37" s="0" t="s">
        <v>62</v>
      </c>
      <c r="B37" s="7" t="n">
        <v>28252258000</v>
      </c>
      <c r="C37" s="8" t="n">
        <f aca="false">ROUND(B37/1000,3)</f>
        <v>28252258</v>
      </c>
      <c r="D37" s="9" t="n">
        <v>28252258</v>
      </c>
      <c r="E37" s="8" t="n">
        <f aca="false">ROUND(C37-D37,3)</f>
        <v>0</v>
      </c>
      <c r="F37" s="3" t="s">
        <v>63</v>
      </c>
    </row>
    <row r="38" customFormat="false" ht="15" hidden="false" customHeight="false" outlineLevel="0" collapsed="false">
      <c r="A38" s="0" t="s">
        <v>64</v>
      </c>
      <c r="B38" s="7" t="n">
        <v>5682056000</v>
      </c>
      <c r="C38" s="8" t="n">
        <f aca="false">ROUND(B38/1000,3)</f>
        <v>5682056</v>
      </c>
      <c r="D38" s="9" t="n">
        <v>5682056</v>
      </c>
      <c r="E38" s="8" t="n">
        <f aca="false">ROUND(C38-D38,3)</f>
        <v>0</v>
      </c>
      <c r="F38" s="3" t="s">
        <v>49</v>
      </c>
    </row>
    <row r="39" customFormat="false" ht="15" hidden="false" customHeight="false" outlineLevel="0" collapsed="false">
      <c r="A39" s="0" t="s">
        <v>65</v>
      </c>
      <c r="B39" s="7" t="n">
        <v>1139825000</v>
      </c>
      <c r="C39" s="8" t="n">
        <f aca="false">ROUND(B39/1000,3)</f>
        <v>1139825</v>
      </c>
      <c r="D39" s="9" t="n">
        <v>1139825</v>
      </c>
      <c r="E39" s="8" t="n">
        <f aca="false">ROUND(C39-D39,3)</f>
        <v>0</v>
      </c>
      <c r="F39" s="3" t="s">
        <v>49</v>
      </c>
    </row>
    <row r="41" customFormat="false" ht="15" hidden="false" customHeight="false" outlineLevel="0" collapsed="false">
      <c r="A41" s="6" t="s">
        <v>66</v>
      </c>
    </row>
    <row r="42" customFormat="false" ht="28.35" hidden="false" customHeight="false" outlineLevel="0" collapsed="false">
      <c r="A42" s="1" t="s">
        <v>29</v>
      </c>
      <c r="B42" s="1" t="s">
        <v>30</v>
      </c>
      <c r="C42" s="1" t="s">
        <v>31</v>
      </c>
      <c r="D42" s="1" t="s">
        <v>32</v>
      </c>
      <c r="E42" s="1" t="s">
        <v>33</v>
      </c>
      <c r="F42" s="1" t="s">
        <v>34</v>
      </c>
    </row>
    <row r="43" customFormat="false" ht="15" hidden="false" customHeight="false" outlineLevel="0" collapsed="false">
      <c r="A43" s="0" t="s">
        <v>67</v>
      </c>
      <c r="B43" s="7" t="n">
        <v>4106084000</v>
      </c>
      <c r="C43" s="8" t="n">
        <f aca="false">ROUND(B43/1000,3)</f>
        <v>4106084</v>
      </c>
      <c r="D43" s="9" t="n">
        <v>4106084</v>
      </c>
      <c r="E43" s="8" t="n">
        <f aca="false">ROUND(C43-D43,3)</f>
        <v>0</v>
      </c>
      <c r="F43" s="3" t="s">
        <v>20</v>
      </c>
    </row>
    <row r="44" customFormat="false" ht="15" hidden="false" customHeight="false" outlineLevel="0" collapsed="false">
      <c r="A44" s="0" t="s">
        <v>68</v>
      </c>
      <c r="B44" s="7" t="n">
        <v>32325214000</v>
      </c>
      <c r="C44" s="8" t="n">
        <f aca="false">ROUND(B44/1000,3)</f>
        <v>32325214</v>
      </c>
      <c r="D44" s="9" t="n">
        <v>32325214</v>
      </c>
      <c r="E44" s="8" t="n">
        <f aca="false">ROUND(C44-D44,3)</f>
        <v>0</v>
      </c>
      <c r="F44" s="3" t="s">
        <v>20</v>
      </c>
    </row>
    <row r="45" customFormat="false" ht="15" hidden="false" customHeight="false" outlineLevel="0" collapsed="false">
      <c r="A45" s="0" t="s">
        <v>69</v>
      </c>
      <c r="B45" s="7" t="n">
        <v>3604640000</v>
      </c>
      <c r="C45" s="8" t="n">
        <f aca="false">ROUND(B45/1000,3)</f>
        <v>3604640</v>
      </c>
      <c r="D45" s="9" t="n">
        <v>3604640</v>
      </c>
      <c r="E45" s="8" t="n">
        <f aca="false">ROUND(C45-D45,3)</f>
        <v>0</v>
      </c>
      <c r="F45" s="3" t="s">
        <v>20</v>
      </c>
    </row>
    <row r="46" customFormat="false" ht="15" hidden="false" customHeight="false" outlineLevel="0" collapsed="false">
      <c r="A46" s="0" t="s">
        <v>70</v>
      </c>
      <c r="B46" s="7" t="n">
        <v>31046823000</v>
      </c>
      <c r="C46" s="8" t="n">
        <f aca="false">ROUND(B46/1000,3)</f>
        <v>31046823</v>
      </c>
      <c r="D46" s="9" t="n">
        <v>31046823</v>
      </c>
      <c r="E46" s="8" t="n">
        <f aca="false">ROUND(C46-D46,3)</f>
        <v>0</v>
      </c>
      <c r="F46" s="3" t="s">
        <v>20</v>
      </c>
    </row>
    <row r="47" customFormat="false" ht="15" hidden="false" customHeight="false" outlineLevel="0" collapsed="false">
      <c r="A47" s="12" t="s">
        <v>71</v>
      </c>
    </row>
    <row r="49" customFormat="false" ht="15" hidden="false" customHeight="false" outlineLevel="0" collapsed="false">
      <c r="A49" s="6" t="s">
        <v>72</v>
      </c>
    </row>
    <row r="50" customFormat="false" ht="28.35" hidden="false" customHeight="false" outlineLevel="0" collapsed="false">
      <c r="A50" s="1" t="s">
        <v>73</v>
      </c>
      <c r="B50" s="1" t="s">
        <v>74</v>
      </c>
      <c r="C50" s="1" t="s">
        <v>75</v>
      </c>
      <c r="D50" s="1" t="s">
        <v>76</v>
      </c>
      <c r="E50" s="1" t="s">
        <v>77</v>
      </c>
      <c r="F50" s="1" t="s">
        <v>78</v>
      </c>
      <c r="G50" s="1" t="s">
        <v>79</v>
      </c>
      <c r="H50" s="1" t="s">
        <v>80</v>
      </c>
    </row>
    <row r="51" customFormat="false" ht="15" hidden="false" customHeight="false" outlineLevel="0" collapsed="false">
      <c r="A51" s="0" t="s">
        <v>81</v>
      </c>
      <c r="B51" s="0" t="s">
        <v>82</v>
      </c>
      <c r="C51" s="7" t="n">
        <v>617089157.8</v>
      </c>
      <c r="D51" s="7" t="n">
        <v>617089157.8</v>
      </c>
      <c r="E51" s="7" t="n">
        <v>30340643.24</v>
      </c>
      <c r="F51" s="7" t="n">
        <v>647429801.04</v>
      </c>
      <c r="G51" s="7" t="n">
        <f aca="false">ROUND(C51-D51,2)</f>
        <v>0</v>
      </c>
      <c r="H51" s="7" t="n">
        <f aca="false">ROUND(C51+E51-F51,2)</f>
        <v>0</v>
      </c>
    </row>
    <row r="52" customFormat="false" ht="15" hidden="false" customHeight="false" outlineLevel="0" collapsed="false">
      <c r="A52" s="0" t="s">
        <v>81</v>
      </c>
      <c r="B52" s="0" t="s">
        <v>83</v>
      </c>
      <c r="C52" s="7" t="n">
        <v>5263586.44</v>
      </c>
      <c r="D52" s="7" t="n">
        <v>5263586.44</v>
      </c>
      <c r="E52" s="7" t="n">
        <v>-48699.03</v>
      </c>
      <c r="F52" s="7" t="n">
        <v>5214887.41</v>
      </c>
      <c r="G52" s="7" t="n">
        <f aca="false">ROUND(C52-D52,2)</f>
        <v>0</v>
      </c>
      <c r="H52" s="7" t="n">
        <f aca="false">ROUND(C52+E52-F52,2)</f>
        <v>0</v>
      </c>
    </row>
    <row r="53" customFormat="false" ht="15" hidden="false" customHeight="false" outlineLevel="0" collapsed="false">
      <c r="A53" s="0" t="s">
        <v>84</v>
      </c>
      <c r="B53" s="0" t="s">
        <v>82</v>
      </c>
      <c r="C53" s="7" t="n">
        <v>486263823.55</v>
      </c>
      <c r="D53" s="7" t="n">
        <v>486263823.55</v>
      </c>
      <c r="E53" s="7" t="n">
        <v>63782413.8</v>
      </c>
      <c r="F53" s="7" t="n">
        <v>550046237.35</v>
      </c>
      <c r="G53" s="7" t="n">
        <f aca="false">ROUND(C53-D53,2)</f>
        <v>0</v>
      </c>
      <c r="H53" s="7" t="n">
        <f aca="false">ROUND(C53+E53-F53,2)</f>
        <v>0</v>
      </c>
    </row>
    <row r="54" customFormat="false" ht="15" hidden="false" customHeight="false" outlineLevel="0" collapsed="false">
      <c r="A54" s="0" t="s">
        <v>84</v>
      </c>
      <c r="B54" s="0" t="s">
        <v>83</v>
      </c>
      <c r="C54" s="7" t="n">
        <v>4147685.36</v>
      </c>
      <c r="D54" s="7" t="n">
        <v>4147685.36</v>
      </c>
      <c r="E54" s="7" t="n">
        <v>-38374.64</v>
      </c>
      <c r="F54" s="7" t="n">
        <v>4109310.72</v>
      </c>
      <c r="G54" s="7" t="n">
        <f aca="false">ROUND(C54-D54,2)</f>
        <v>0</v>
      </c>
      <c r="H54" s="7" t="n">
        <f aca="false">ROUND(C54+E54-F54,2)</f>
        <v>0</v>
      </c>
    </row>
    <row r="55" customFormat="false" ht="15" hidden="false" customHeight="false" outlineLevel="0" collapsed="false">
      <c r="A55" s="0" t="s">
        <v>85</v>
      </c>
      <c r="B55" s="0" t="s">
        <v>82</v>
      </c>
      <c r="C55" s="7" t="n">
        <v>159464338.85</v>
      </c>
      <c r="D55" s="7" t="n">
        <v>159464338.85</v>
      </c>
      <c r="E55" s="7" t="n">
        <v>4513300.75</v>
      </c>
      <c r="F55" s="7" t="n">
        <v>163977639.6</v>
      </c>
      <c r="G55" s="7" t="n">
        <f aca="false">ROUND(C55-D55,2)</f>
        <v>0</v>
      </c>
      <c r="H55" s="7" t="n">
        <f aca="false">ROUND(C55+E55-F55,2)</f>
        <v>0</v>
      </c>
    </row>
    <row r="56" customFormat="false" ht="15" hidden="false" customHeight="false" outlineLevel="0" collapsed="false">
      <c r="A56" s="0" t="s">
        <v>85</v>
      </c>
      <c r="B56" s="0" t="s">
        <v>83</v>
      </c>
      <c r="C56" s="7" t="n">
        <v>1360183.24</v>
      </c>
      <c r="D56" s="7" t="n">
        <v>1360183.24</v>
      </c>
      <c r="E56" s="7" t="n">
        <v>-12584.5</v>
      </c>
      <c r="F56" s="7" t="n">
        <v>1347598.74</v>
      </c>
      <c r="G56" s="7" t="n">
        <f aca="false">ROUND(C56-D56,2)</f>
        <v>0</v>
      </c>
      <c r="H56" s="7" t="n">
        <f aca="false">ROUND(C56+E56-F56,2)</f>
        <v>0</v>
      </c>
    </row>
    <row r="57" customFormat="false" ht="15" hidden="false" customHeight="false" outlineLevel="0" collapsed="false">
      <c r="A57" s="0" t="s">
        <v>86</v>
      </c>
      <c r="B57" s="0" t="s">
        <v>82</v>
      </c>
      <c r="C57" s="7" t="n">
        <v>555100589.86</v>
      </c>
      <c r="D57" s="7" t="n">
        <v>555100589.86</v>
      </c>
      <c r="E57" s="7" t="n">
        <v>238930777.21</v>
      </c>
      <c r="F57" s="7" t="n">
        <v>794031367.07</v>
      </c>
      <c r="G57" s="7" t="n">
        <f aca="false">ROUND(C57-D57,2)</f>
        <v>0</v>
      </c>
      <c r="H57" s="7" t="n">
        <f aca="false">ROUND(C57+E57-F57,2)</f>
        <v>0</v>
      </c>
    </row>
    <row r="58" customFormat="false" ht="15" hidden="false" customHeight="false" outlineLevel="0" collapsed="false">
      <c r="A58" s="0" t="s">
        <v>86</v>
      </c>
      <c r="B58" s="0" t="s">
        <v>83</v>
      </c>
      <c r="C58" s="7" t="n">
        <v>0</v>
      </c>
      <c r="D58" s="7" t="n">
        <v>0</v>
      </c>
      <c r="E58" s="7" t="n">
        <v>6477607.86</v>
      </c>
      <c r="F58" s="7" t="n">
        <v>6477607.86</v>
      </c>
      <c r="G58" s="7" t="n">
        <f aca="false">ROUND(C58-D58,2)</f>
        <v>0</v>
      </c>
      <c r="H58" s="7" t="n">
        <f aca="false">ROUND(C58+E58-F58,2)</f>
        <v>0</v>
      </c>
    </row>
    <row r="59" customFormat="false" ht="15" hidden="false" customHeight="false" outlineLevel="0" collapsed="false">
      <c r="A59" s="0" t="s">
        <v>87</v>
      </c>
      <c r="B59" s="0" t="s">
        <v>82</v>
      </c>
      <c r="C59" s="7" t="n">
        <v>64406456</v>
      </c>
      <c r="D59" s="7" t="n">
        <v>64406456</v>
      </c>
      <c r="E59" s="7" t="n">
        <v>34742683.15</v>
      </c>
      <c r="F59" s="7" t="n">
        <v>99149139.15</v>
      </c>
      <c r="G59" s="7" t="n">
        <f aca="false">ROUND(C59-D59,2)</f>
        <v>0</v>
      </c>
      <c r="H59" s="7" t="n">
        <f aca="false">ROUND(C59+E59-F59,2)</f>
        <v>0</v>
      </c>
    </row>
    <row r="60" customFormat="false" ht="15" hidden="false" customHeight="false" outlineLevel="0" collapsed="false">
      <c r="A60" s="0" t="s">
        <v>87</v>
      </c>
      <c r="B60" s="0" t="s">
        <v>83</v>
      </c>
      <c r="C60" s="7" t="n">
        <v>549367.86</v>
      </c>
      <c r="D60" s="7" t="n">
        <v>549367.86</v>
      </c>
      <c r="E60" s="7" t="n">
        <v>-5082.79</v>
      </c>
      <c r="F60" s="7" t="n">
        <v>544285.07</v>
      </c>
      <c r="G60" s="7" t="n">
        <f aca="false">ROUND(C60-D60,2)</f>
        <v>0</v>
      </c>
      <c r="H60" s="7" t="n">
        <f aca="false">ROUND(C60+E60-F60,2)</f>
        <v>0</v>
      </c>
    </row>
    <row r="61" customFormat="false" ht="15" hidden="false" customHeight="false" outlineLevel="0" collapsed="false">
      <c r="A61" s="0" t="s">
        <v>88</v>
      </c>
      <c r="B61" s="0" t="s">
        <v>82</v>
      </c>
      <c r="C61" s="7" t="n">
        <v>900000000</v>
      </c>
      <c r="D61" s="7" t="n">
        <v>900000000</v>
      </c>
      <c r="E61" s="7" t="n">
        <v>1434548123.58</v>
      </c>
      <c r="F61" s="7" t="n">
        <v>2334548123.58</v>
      </c>
      <c r="G61" s="7" t="n">
        <f aca="false">ROUND(C61-D61,2)</f>
        <v>0</v>
      </c>
      <c r="H61" s="7" t="n">
        <f aca="false">ROUND(C61+E61-F61,2)</f>
        <v>0</v>
      </c>
    </row>
    <row r="62" customFormat="false" ht="15" hidden="false" customHeight="false" outlineLevel="0" collapsed="false">
      <c r="A62" s="0" t="s">
        <v>89</v>
      </c>
      <c r="B62" s="0" t="s">
        <v>82</v>
      </c>
      <c r="C62" s="7" t="n">
        <v>397180598.75</v>
      </c>
      <c r="D62" s="7" t="n">
        <v>397180598.75</v>
      </c>
      <c r="E62" s="7" t="n">
        <v>65726499.35</v>
      </c>
      <c r="F62" s="7" t="n">
        <v>462907098.1</v>
      </c>
      <c r="G62" s="7" t="n">
        <f aca="false">ROUND(C62-D62,2)</f>
        <v>0</v>
      </c>
      <c r="H62" s="7" t="n">
        <f aca="false">ROUND(C62+E62-F62,2)</f>
        <v>0</v>
      </c>
    </row>
    <row r="63" customFormat="false" ht="15" hidden="false" customHeight="false" outlineLevel="0" collapsed="false">
      <c r="A63" s="0" t="s">
        <v>89</v>
      </c>
      <c r="B63" s="0" t="s">
        <v>83</v>
      </c>
      <c r="C63" s="7" t="n">
        <v>3387832.03</v>
      </c>
      <c r="D63" s="7" t="n">
        <v>3387832.03</v>
      </c>
      <c r="E63" s="7" t="n">
        <v>-31344.44</v>
      </c>
      <c r="F63" s="7" t="n">
        <v>3356487.59</v>
      </c>
      <c r="G63" s="7" t="n">
        <f aca="false">ROUND(C63-D63,2)</f>
        <v>0</v>
      </c>
      <c r="H63" s="7" t="n">
        <f aca="false">ROUND(C63+E63-F63,2)</f>
        <v>0</v>
      </c>
    </row>
    <row r="64" customFormat="false" ht="15" hidden="false" customHeight="false" outlineLevel="0" collapsed="false">
      <c r="A64" s="0" t="s">
        <v>90</v>
      </c>
      <c r="B64" s="0" t="s">
        <v>82</v>
      </c>
      <c r="C64" s="7" t="n">
        <v>2350000000</v>
      </c>
      <c r="D64" s="7" t="n">
        <v>2350000000</v>
      </c>
      <c r="E64" s="7" t="n">
        <v>1996722751.85</v>
      </c>
      <c r="F64" s="7" t="n">
        <v>4346722751.85</v>
      </c>
      <c r="G64" s="7" t="n">
        <f aca="false">ROUND(C64-D64,2)</f>
        <v>0</v>
      </c>
      <c r="H64" s="7" t="n">
        <f aca="false">ROUND(C64+E64-F64,2)</f>
        <v>0</v>
      </c>
    </row>
    <row r="65" customFormat="false" ht="15" hidden="false" customHeight="false" outlineLevel="0" collapsed="false">
      <c r="A65" s="0" t="s">
        <v>90</v>
      </c>
      <c r="B65" s="0" t="s">
        <v>83</v>
      </c>
      <c r="C65" s="7" t="n">
        <v>0</v>
      </c>
      <c r="D65" s="7" t="n">
        <v>0</v>
      </c>
      <c r="E65" s="7" t="n">
        <v>4758462.72</v>
      </c>
      <c r="F65" s="7" t="n">
        <v>4758462.72</v>
      </c>
      <c r="G65" s="7" t="n">
        <f aca="false">ROUND(C65-D65,2)</f>
        <v>0</v>
      </c>
      <c r="H65" s="7" t="n">
        <f aca="false">ROUND(C65+E65-F65,2)</f>
        <v>0</v>
      </c>
    </row>
    <row r="66" customFormat="false" ht="15" hidden="false" customHeight="false" outlineLevel="0" collapsed="false">
      <c r="A66" s="0" t="s">
        <v>91</v>
      </c>
      <c r="B66" s="0" t="s">
        <v>82</v>
      </c>
      <c r="C66" s="7" t="n">
        <v>64119251.05</v>
      </c>
      <c r="D66" s="7" t="n">
        <v>64119251.05</v>
      </c>
      <c r="E66" s="7" t="n">
        <v>130311772.8</v>
      </c>
      <c r="F66" s="7" t="n">
        <v>194431023.85</v>
      </c>
      <c r="G66" s="7" t="n">
        <f aca="false">ROUND(C66-D66,2)</f>
        <v>0</v>
      </c>
      <c r="H66" s="7" t="n">
        <f aca="false">ROUND(C66+E66-F66,2)</f>
        <v>0</v>
      </c>
    </row>
    <row r="67" customFormat="false" ht="15" hidden="false" customHeight="false" outlineLevel="0" collapsed="false">
      <c r="A67" s="0" t="s">
        <v>92</v>
      </c>
      <c r="B67" s="0" t="s">
        <v>82</v>
      </c>
      <c r="C67" s="7" t="n">
        <v>144974898.67</v>
      </c>
      <c r="D67" s="7" t="n">
        <v>144974898.67</v>
      </c>
      <c r="E67" s="7" t="n">
        <v>5660319.75</v>
      </c>
      <c r="F67" s="7" t="n">
        <v>150635218.42</v>
      </c>
      <c r="G67" s="7" t="n">
        <f aca="false">ROUND(C67-D67,2)</f>
        <v>0</v>
      </c>
      <c r="H67" s="7" t="n">
        <f aca="false">ROUND(C67+E67-F67,2)</f>
        <v>0</v>
      </c>
    </row>
    <row r="68" customFormat="false" ht="15" hidden="false" customHeight="false" outlineLevel="0" collapsed="false">
      <c r="A68" s="0" t="s">
        <v>92</v>
      </c>
      <c r="B68" s="0" t="s">
        <v>83</v>
      </c>
      <c r="C68" s="7" t="n">
        <v>1236592.64</v>
      </c>
      <c r="D68" s="7" t="n">
        <v>1236592.64</v>
      </c>
      <c r="E68" s="7" t="n">
        <v>-11441.03</v>
      </c>
      <c r="F68" s="7" t="n">
        <v>1225151.61</v>
      </c>
      <c r="G68" s="7" t="n">
        <f aca="false">ROUND(C68-D68,2)</f>
        <v>0</v>
      </c>
      <c r="H68" s="7" t="n">
        <f aca="false">ROUND(C68+E68-F68,2)</f>
        <v>0</v>
      </c>
    </row>
    <row r="69" customFormat="false" ht="15" hidden="false" customHeight="false" outlineLevel="0" collapsed="false">
      <c r="A69" s="0" t="s">
        <v>93</v>
      </c>
      <c r="B69" s="0" t="s">
        <v>82</v>
      </c>
      <c r="C69" s="7" t="n">
        <v>1950000000</v>
      </c>
      <c r="D69" s="7" t="n">
        <v>1950000000</v>
      </c>
      <c r="E69" s="7" t="n">
        <v>211797132.13</v>
      </c>
      <c r="F69" s="7" t="n">
        <v>2161797132.13</v>
      </c>
      <c r="G69" s="7" t="n">
        <f aca="false">ROUND(C69-D69,2)</f>
        <v>0</v>
      </c>
      <c r="H69" s="7" t="n">
        <f aca="false">ROUND(C69+E69-F69,2)</f>
        <v>0</v>
      </c>
    </row>
    <row r="70" customFormat="false" ht="15" hidden="false" customHeight="false" outlineLevel="0" collapsed="false">
      <c r="A70" s="0" t="s">
        <v>93</v>
      </c>
      <c r="B70" s="0" t="s">
        <v>83</v>
      </c>
      <c r="C70" s="7" t="n">
        <v>8030286.94</v>
      </c>
      <c r="D70" s="7" t="n">
        <v>8030286.94</v>
      </c>
      <c r="E70" s="7" t="n">
        <v>-2708792.61</v>
      </c>
      <c r="F70" s="7" t="n">
        <v>5321494.33</v>
      </c>
      <c r="G70" s="7" t="n">
        <f aca="false">ROUND(C70-D70,2)</f>
        <v>0</v>
      </c>
      <c r="H70" s="7" t="n">
        <f aca="false">ROUND(C70+E70-F70,2)</f>
        <v>0</v>
      </c>
    </row>
    <row r="71" customFormat="false" ht="15" hidden="false" customHeight="false" outlineLevel="0" collapsed="false">
      <c r="A71" s="0" t="s">
        <v>94</v>
      </c>
      <c r="B71" s="0" t="s">
        <v>82</v>
      </c>
      <c r="C71" s="7" t="n">
        <v>485959724.19</v>
      </c>
      <c r="D71" s="7" t="n">
        <v>485959724.19</v>
      </c>
      <c r="E71" s="7" t="n">
        <v>18228551.41</v>
      </c>
      <c r="F71" s="7" t="n">
        <v>504188275.6</v>
      </c>
      <c r="G71" s="7" t="n">
        <f aca="false">ROUND(C71-D71,2)</f>
        <v>0</v>
      </c>
      <c r="H71" s="7" t="n">
        <f aca="false">ROUND(C71+E71-F71,2)</f>
        <v>0</v>
      </c>
    </row>
    <row r="72" customFormat="false" ht="15" hidden="false" customHeight="false" outlineLevel="0" collapsed="false">
      <c r="A72" s="0" t="s">
        <v>94</v>
      </c>
      <c r="B72" s="0" t="s">
        <v>83</v>
      </c>
      <c r="C72" s="7" t="n">
        <v>4145091.49</v>
      </c>
      <c r="D72" s="7" t="n">
        <v>4145091.49</v>
      </c>
      <c r="E72" s="7" t="n">
        <v>-38350.65</v>
      </c>
      <c r="F72" s="7" t="n">
        <v>4106740.84</v>
      </c>
      <c r="G72" s="7" t="n">
        <f aca="false">ROUND(C72-D72,2)</f>
        <v>0</v>
      </c>
      <c r="H72" s="7" t="n">
        <f aca="false">ROUND(C72+E72-F72,2)</f>
        <v>0</v>
      </c>
    </row>
    <row r="73" customFormat="false" ht="15" hidden="false" customHeight="false" outlineLevel="0" collapsed="false">
      <c r="A73" s="0" t="s">
        <v>95</v>
      </c>
      <c r="B73" s="0" t="s">
        <v>82</v>
      </c>
      <c r="C73" s="7" t="n">
        <v>569771000</v>
      </c>
      <c r="D73" s="7" t="n">
        <v>569771000</v>
      </c>
      <c r="E73" s="7" t="n">
        <v>1112798615.72</v>
      </c>
      <c r="F73" s="7" t="n">
        <v>1682569615.72</v>
      </c>
      <c r="G73" s="7" t="n">
        <f aca="false">ROUND(C73-D73,2)</f>
        <v>0</v>
      </c>
      <c r="H73" s="7" t="n">
        <f aca="false">ROUND(C73+E73-F73,2)</f>
        <v>0</v>
      </c>
    </row>
    <row r="74" customFormat="false" ht="15" hidden="false" customHeight="false" outlineLevel="0" collapsed="false">
      <c r="A74" s="0" t="s">
        <v>96</v>
      </c>
      <c r="B74" s="0" t="s">
        <v>82</v>
      </c>
      <c r="C74" s="7" t="n">
        <v>68118257.03</v>
      </c>
      <c r="D74" s="7" t="n">
        <v>68118257.03</v>
      </c>
      <c r="E74" s="7" t="n">
        <v>1495249.14</v>
      </c>
      <c r="F74" s="7" t="n">
        <v>69613506.17</v>
      </c>
      <c r="G74" s="7" t="n">
        <f aca="false">ROUND(C74-D74,2)</f>
        <v>0</v>
      </c>
      <c r="H74" s="7" t="n">
        <f aca="false">ROUND(C74+E74-F74,2)</f>
        <v>0</v>
      </c>
    </row>
    <row r="75" customFormat="false" ht="15" hidden="false" customHeight="false" outlineLevel="0" collapsed="false">
      <c r="A75" s="0" t="s">
        <v>96</v>
      </c>
      <c r="B75" s="0" t="s">
        <v>83</v>
      </c>
      <c r="C75" s="7" t="n">
        <v>581028.41</v>
      </c>
      <c r="D75" s="7" t="n">
        <v>581028.41</v>
      </c>
      <c r="E75" s="7" t="n">
        <v>-5375.71</v>
      </c>
      <c r="F75" s="7" t="n">
        <v>575652.7</v>
      </c>
      <c r="G75" s="7" t="n">
        <f aca="false">ROUND(C75-D75,2)</f>
        <v>0</v>
      </c>
      <c r="H75" s="7" t="n">
        <f aca="false">ROUND(C75+E75-F75,2)</f>
        <v>0</v>
      </c>
    </row>
    <row r="76" customFormat="false" ht="15" hidden="false" customHeight="false" outlineLevel="0" collapsed="false">
      <c r="A76" s="0" t="s">
        <v>97</v>
      </c>
      <c r="B76" s="0" t="s">
        <v>82</v>
      </c>
      <c r="C76" s="7" t="n">
        <v>50486456.79</v>
      </c>
      <c r="D76" s="7" t="n">
        <v>50486456.79</v>
      </c>
      <c r="E76" s="7" t="n">
        <v>128034245.47</v>
      </c>
      <c r="F76" s="7" t="n">
        <v>178520702.26</v>
      </c>
      <c r="G76" s="7" t="n">
        <f aca="false">ROUND(C76-D76,2)</f>
        <v>0</v>
      </c>
      <c r="H76" s="7" t="n">
        <f aca="false">ROUND(C76+E76-F76,2)</f>
        <v>0</v>
      </c>
    </row>
    <row r="77" customFormat="false" ht="15" hidden="false" customHeight="false" outlineLevel="0" collapsed="false">
      <c r="A77" s="0" t="s">
        <v>97</v>
      </c>
      <c r="B77" s="0" t="s">
        <v>83</v>
      </c>
      <c r="C77" s="7" t="n">
        <v>0</v>
      </c>
      <c r="D77" s="7" t="n">
        <v>0</v>
      </c>
      <c r="E77" s="7" t="n">
        <v>589078.94</v>
      </c>
      <c r="F77" s="7" t="n">
        <v>589078.94</v>
      </c>
      <c r="G77" s="7" t="n">
        <f aca="false">ROUND(C77-D77,2)</f>
        <v>0</v>
      </c>
      <c r="H77" s="7" t="n">
        <f aca="false">ROUND(C77+E77-F77,2)</f>
        <v>0</v>
      </c>
    </row>
    <row r="78" customFormat="false" ht="15" hidden="false" customHeight="false" outlineLevel="0" collapsed="false">
      <c r="A78" s="0" t="s">
        <v>98</v>
      </c>
      <c r="B78" s="0" t="s">
        <v>82</v>
      </c>
      <c r="C78" s="7" t="n">
        <v>663857850.82</v>
      </c>
      <c r="D78" s="7" t="n">
        <v>663857850.82</v>
      </c>
      <c r="E78" s="7" t="n">
        <v>21032984.9</v>
      </c>
      <c r="F78" s="7" t="n">
        <v>684890835.72</v>
      </c>
      <c r="G78" s="7" t="n">
        <f aca="false">ROUND(C78-D78,2)</f>
        <v>0</v>
      </c>
      <c r="H78" s="7" t="n">
        <f aca="false">ROUND(C78+E78-F78,2)</f>
        <v>0</v>
      </c>
    </row>
    <row r="79" customFormat="false" ht="15" hidden="false" customHeight="false" outlineLevel="0" collapsed="false">
      <c r="A79" s="0" t="s">
        <v>98</v>
      </c>
      <c r="B79" s="0" t="s">
        <v>83</v>
      </c>
      <c r="C79" s="7" t="n">
        <v>5662509.44</v>
      </c>
      <c r="D79" s="7" t="n">
        <v>5662509.44</v>
      </c>
      <c r="E79" s="7" t="n">
        <v>-52389.89</v>
      </c>
      <c r="F79" s="7" t="n">
        <v>5610119.55</v>
      </c>
      <c r="G79" s="7" t="n">
        <f aca="false">ROUND(C79-D79,2)</f>
        <v>0</v>
      </c>
      <c r="H79" s="7" t="n">
        <f aca="false">ROUND(C79+E79-F79,2)</f>
        <v>0</v>
      </c>
    </row>
    <row r="80" customFormat="false" ht="15" hidden="false" customHeight="false" outlineLevel="0" collapsed="false">
      <c r="A80" s="0" t="s">
        <v>99</v>
      </c>
      <c r="B80" s="0" t="s">
        <v>82</v>
      </c>
      <c r="C80" s="7" t="n">
        <v>176780114.27</v>
      </c>
      <c r="D80" s="7" t="n">
        <v>176780114.27</v>
      </c>
      <c r="E80" s="7" t="n">
        <v>7375969.69</v>
      </c>
      <c r="F80" s="7" t="n">
        <v>184156083.96</v>
      </c>
      <c r="G80" s="7" t="n">
        <f aca="false">ROUND(C80-D80,2)</f>
        <v>0</v>
      </c>
      <c r="H80" s="7" t="n">
        <f aca="false">ROUND(C80+E80-F80,2)</f>
        <v>0</v>
      </c>
    </row>
    <row r="81" customFormat="false" ht="15" hidden="false" customHeight="false" outlineLevel="0" collapsed="false">
      <c r="A81" s="0" t="s">
        <v>99</v>
      </c>
      <c r="B81" s="0" t="s">
        <v>83</v>
      </c>
      <c r="C81" s="7" t="n">
        <v>1507881.65</v>
      </c>
      <c r="D81" s="7" t="n">
        <v>1507881.65</v>
      </c>
      <c r="E81" s="7" t="n">
        <v>-13951.02</v>
      </c>
      <c r="F81" s="7" t="n">
        <v>1493930.63</v>
      </c>
      <c r="G81" s="7" t="n">
        <f aca="false">ROUND(C81-D81,2)</f>
        <v>0</v>
      </c>
      <c r="H81" s="7" t="n">
        <f aca="false">ROUND(C81+E81-F81,2)</f>
        <v>0</v>
      </c>
    </row>
    <row r="82" customFormat="false" ht="15" hidden="false" customHeight="false" outlineLevel="0" collapsed="false">
      <c r="A82" s="0" t="s">
        <v>100</v>
      </c>
      <c r="B82" s="0" t="s">
        <v>82</v>
      </c>
      <c r="C82" s="7" t="n">
        <v>73296890.28</v>
      </c>
      <c r="D82" s="7" t="n">
        <v>73296890.28</v>
      </c>
      <c r="E82" s="7" t="n">
        <v>-222544.93</v>
      </c>
      <c r="F82" s="7" t="n">
        <v>73074345.35</v>
      </c>
      <c r="G82" s="7" t="n">
        <f aca="false">ROUND(C82-D82,2)</f>
        <v>0</v>
      </c>
      <c r="H82" s="7" t="n">
        <f aca="false">ROUND(C82+E82-F82,2)</f>
        <v>0</v>
      </c>
    </row>
    <row r="83" customFormat="false" ht="15" hidden="false" customHeight="false" outlineLevel="0" collapsed="false">
      <c r="A83" s="0" t="s">
        <v>100</v>
      </c>
      <c r="B83" s="0" t="s">
        <v>83</v>
      </c>
      <c r="C83" s="7" t="n">
        <v>625200.61</v>
      </c>
      <c r="D83" s="7" t="n">
        <v>625200.61</v>
      </c>
      <c r="E83" s="7" t="n">
        <v>-5784.39</v>
      </c>
      <c r="F83" s="7" t="n">
        <v>619416.22</v>
      </c>
      <c r="G83" s="7" t="n">
        <f aca="false">ROUND(C83-D83,2)</f>
        <v>0</v>
      </c>
      <c r="H83" s="7" t="n">
        <f aca="false">ROUND(C83+E83-F83,2)</f>
        <v>0</v>
      </c>
    </row>
    <row r="84" customFormat="false" ht="15" hidden="false" customHeight="false" outlineLevel="0" collapsed="false">
      <c r="A84" s="0" t="s">
        <v>101</v>
      </c>
      <c r="B84" s="0" t="s">
        <v>82</v>
      </c>
      <c r="C84" s="7" t="n">
        <v>619056859.55</v>
      </c>
      <c r="D84" s="7" t="n">
        <v>619056859.55</v>
      </c>
      <c r="E84" s="7" t="n">
        <v>13192004.53</v>
      </c>
      <c r="F84" s="7" t="n">
        <v>632248864.08</v>
      </c>
      <c r="G84" s="7" t="n">
        <f aca="false">ROUND(C84-D84,2)</f>
        <v>0</v>
      </c>
      <c r="H84" s="7" t="n">
        <f aca="false">ROUND(C84+E84-F84,2)</f>
        <v>0</v>
      </c>
    </row>
    <row r="85" customFormat="false" ht="15" hidden="false" customHeight="false" outlineLevel="0" collapsed="false">
      <c r="A85" s="0" t="s">
        <v>101</v>
      </c>
      <c r="B85" s="0" t="s">
        <v>83</v>
      </c>
      <c r="C85" s="7" t="n">
        <v>5280370.34</v>
      </c>
      <c r="D85" s="7" t="n">
        <v>5280370.34</v>
      </c>
      <c r="E85" s="7" t="n">
        <v>-48854.31</v>
      </c>
      <c r="F85" s="7" t="n">
        <v>5231516.03</v>
      </c>
      <c r="G85" s="7" t="n">
        <f aca="false">ROUND(C85-D85,2)</f>
        <v>0</v>
      </c>
      <c r="H85" s="7" t="n">
        <f aca="false">ROUND(C85+E85-F85,2)</f>
        <v>0</v>
      </c>
    </row>
    <row r="86" customFormat="false" ht="15" hidden="false" customHeight="false" outlineLevel="0" collapsed="false">
      <c r="A86" s="0" t="s">
        <v>102</v>
      </c>
      <c r="B86" s="0" t="s">
        <v>82</v>
      </c>
      <c r="C86" s="7" t="n">
        <v>82598753.11</v>
      </c>
      <c r="D86" s="7" t="n">
        <v>82598753.11</v>
      </c>
      <c r="E86" s="7" t="n">
        <v>1901470.15</v>
      </c>
      <c r="F86" s="7" t="n">
        <v>84500223.26</v>
      </c>
      <c r="G86" s="7" t="n">
        <f aca="false">ROUND(C86-D86,2)</f>
        <v>0</v>
      </c>
      <c r="H86" s="7" t="n">
        <f aca="false">ROUND(C86+E86-F86,2)</f>
        <v>0</v>
      </c>
    </row>
    <row r="87" customFormat="false" ht="15" hidden="false" customHeight="false" outlineLevel="0" collapsed="false">
      <c r="A87" s="0" t="s">
        <v>102</v>
      </c>
      <c r="B87" s="0" t="s">
        <v>83</v>
      </c>
      <c r="C87" s="7" t="n">
        <v>704542.73</v>
      </c>
      <c r="D87" s="7" t="n">
        <v>704542.73</v>
      </c>
      <c r="E87" s="7" t="n">
        <v>-6518.48</v>
      </c>
      <c r="F87" s="7" t="n">
        <v>698024.25</v>
      </c>
      <c r="G87" s="7" t="n">
        <f aca="false">ROUND(C87-D87,2)</f>
        <v>0</v>
      </c>
      <c r="H87" s="7" t="n">
        <f aca="false">ROUND(C87+E87-F87,2)</f>
        <v>0</v>
      </c>
    </row>
    <row r="88" customFormat="false" ht="15" hidden="false" customHeight="false" outlineLevel="0" collapsed="false">
      <c r="A88" s="0" t="s">
        <v>103</v>
      </c>
      <c r="B88" s="0" t="s">
        <v>82</v>
      </c>
      <c r="C88" s="7" t="n">
        <v>157684463.17</v>
      </c>
      <c r="D88" s="7" t="n">
        <v>157684463.17</v>
      </c>
      <c r="E88" s="7" t="n">
        <v>3888282.67</v>
      </c>
      <c r="F88" s="7" t="n">
        <v>161572745.84</v>
      </c>
      <c r="G88" s="7" t="n">
        <f aca="false">ROUND(C88-D88,2)</f>
        <v>0</v>
      </c>
      <c r="H88" s="7" t="n">
        <f aca="false">ROUND(C88+E88-F88,2)</f>
        <v>0</v>
      </c>
    </row>
    <row r="89" customFormat="false" ht="15" hidden="false" customHeight="false" outlineLevel="0" collapsed="false">
      <c r="A89" s="0" t="s">
        <v>103</v>
      </c>
      <c r="B89" s="0" t="s">
        <v>83</v>
      </c>
      <c r="C89" s="7" t="n">
        <v>1345001.44</v>
      </c>
      <c r="D89" s="7" t="n">
        <v>1345001.44</v>
      </c>
      <c r="E89" s="7" t="n">
        <v>-12444.04</v>
      </c>
      <c r="F89" s="7" t="n">
        <v>1332557.4</v>
      </c>
      <c r="G89" s="7" t="n">
        <f aca="false">ROUND(C89-D89,2)</f>
        <v>0</v>
      </c>
      <c r="H89" s="7" t="n">
        <f aca="false">ROUND(C89+E89-F89,2)</f>
        <v>0</v>
      </c>
    </row>
    <row r="90" customFormat="false" ht="15" hidden="false" customHeight="false" outlineLevel="0" collapsed="false">
      <c r="A90" s="0" t="s">
        <v>104</v>
      </c>
      <c r="B90" s="0" t="s">
        <v>82</v>
      </c>
      <c r="C90" s="7" t="n">
        <v>565123943.34</v>
      </c>
      <c r="D90" s="7" t="n">
        <v>565123943.34</v>
      </c>
      <c r="E90" s="7" t="n">
        <v>1553642.55</v>
      </c>
      <c r="F90" s="7" t="n">
        <v>566677585.89</v>
      </c>
      <c r="G90" s="7" t="n">
        <f aca="false">ROUND(C90-D90,2)</f>
        <v>0</v>
      </c>
      <c r="H90" s="7" t="n">
        <f aca="false">ROUND(C90+E90-F90,2)</f>
        <v>0</v>
      </c>
    </row>
    <row r="91" customFormat="false" ht="15" hidden="false" customHeight="false" outlineLevel="0" collapsed="false">
      <c r="A91" s="0" t="s">
        <v>104</v>
      </c>
      <c r="B91" s="0" t="s">
        <v>83</v>
      </c>
      <c r="C91" s="7" t="n">
        <v>4820338.67</v>
      </c>
      <c r="D91" s="7" t="n">
        <v>4820338.67</v>
      </c>
      <c r="E91" s="7" t="n">
        <v>-44598.08</v>
      </c>
      <c r="F91" s="7" t="n">
        <v>4775740.59</v>
      </c>
      <c r="G91" s="7" t="n">
        <f aca="false">ROUND(C91-D91,2)</f>
        <v>0</v>
      </c>
      <c r="H91" s="7" t="n">
        <f aca="false">ROUND(C91+E91-F91,2)</f>
        <v>0</v>
      </c>
    </row>
    <row r="92" customFormat="false" ht="15" hidden="false" customHeight="false" outlineLevel="0" collapsed="false">
      <c r="A92" s="0" t="s">
        <v>105</v>
      </c>
      <c r="B92" s="0" t="s">
        <v>82</v>
      </c>
      <c r="C92" s="7" t="n">
        <v>206385081.55</v>
      </c>
      <c r="D92" s="7" t="n">
        <v>206385081.55</v>
      </c>
      <c r="E92" s="7" t="n">
        <v>8750627.49</v>
      </c>
      <c r="F92" s="7" t="n">
        <v>215135709.04</v>
      </c>
      <c r="G92" s="7" t="n">
        <f aca="false">ROUND(C92-D92,2)</f>
        <v>0</v>
      </c>
      <c r="H92" s="7" t="n">
        <f aca="false">ROUND(C92+E92-F92,2)</f>
        <v>0</v>
      </c>
    </row>
    <row r="93" customFormat="false" ht="15" hidden="false" customHeight="false" outlineLevel="0" collapsed="false">
      <c r="A93" s="0" t="s">
        <v>105</v>
      </c>
      <c r="B93" s="0" t="s">
        <v>83</v>
      </c>
      <c r="C93" s="7" t="n">
        <v>1760403.18</v>
      </c>
      <c r="D93" s="7" t="n">
        <v>1760403.18</v>
      </c>
      <c r="E93" s="7" t="n">
        <v>-16287.36</v>
      </c>
      <c r="F93" s="7" t="n">
        <v>1744115.82</v>
      </c>
      <c r="G93" s="7" t="n">
        <f aca="false">ROUND(C93-D93,2)</f>
        <v>0</v>
      </c>
      <c r="H93" s="7" t="n">
        <f aca="false">ROUND(C93+E93-F93,2)</f>
        <v>0</v>
      </c>
    </row>
    <row r="94" customFormat="false" ht="15" hidden="false" customHeight="false" outlineLevel="0" collapsed="false">
      <c r="A94" s="0" t="s">
        <v>106</v>
      </c>
      <c r="B94" s="0" t="s">
        <v>82</v>
      </c>
      <c r="C94" s="7" t="n">
        <v>613833505.81</v>
      </c>
      <c r="D94" s="7" t="n">
        <v>613833505.81</v>
      </c>
      <c r="E94" s="7" t="n">
        <v>19949744.89</v>
      </c>
      <c r="F94" s="7" t="n">
        <v>633783250.7</v>
      </c>
      <c r="G94" s="7" t="n">
        <f aca="false">ROUND(C94-D94,2)</f>
        <v>0</v>
      </c>
      <c r="H94" s="7" t="n">
        <f aca="false">ROUND(C94+E94-F94,2)</f>
        <v>0</v>
      </c>
    </row>
    <row r="95" customFormat="false" ht="15" hidden="false" customHeight="false" outlineLevel="0" collapsed="false">
      <c r="A95" s="0" t="s">
        <v>106</v>
      </c>
      <c r="B95" s="0" t="s">
        <v>83</v>
      </c>
      <c r="C95" s="7" t="n">
        <v>5235816.7</v>
      </c>
      <c r="D95" s="7" t="n">
        <v>5235816.7</v>
      </c>
      <c r="E95" s="7" t="n">
        <v>-48442.1</v>
      </c>
      <c r="F95" s="7" t="n">
        <v>5187374.6</v>
      </c>
      <c r="G95" s="7" t="n">
        <f aca="false">ROUND(C95-D95,2)</f>
        <v>0</v>
      </c>
      <c r="H95" s="7" t="n">
        <f aca="false">ROUND(C95+E95-F95,2)</f>
        <v>0</v>
      </c>
    </row>
    <row r="96" customFormat="false" ht="15" hidden="false" customHeight="false" outlineLevel="0" collapsed="false">
      <c r="A96" s="0" t="s">
        <v>107</v>
      </c>
      <c r="B96" s="0" t="s">
        <v>82</v>
      </c>
      <c r="C96" s="7" t="n">
        <v>139545830.65</v>
      </c>
      <c r="D96" s="7" t="n">
        <v>139545830.65</v>
      </c>
      <c r="E96" s="7" t="n">
        <v>5849091.83</v>
      </c>
      <c r="F96" s="7" t="n">
        <v>145394922.48</v>
      </c>
      <c r="G96" s="7" t="n">
        <f aca="false">ROUND(C96-D96,2)</f>
        <v>0</v>
      </c>
      <c r="H96" s="7" t="n">
        <f aca="false">ROUND(C96+E96-F96,2)</f>
        <v>0</v>
      </c>
    </row>
    <row r="97" customFormat="false" ht="15" hidden="false" customHeight="false" outlineLevel="0" collapsed="false">
      <c r="A97" s="0" t="s">
        <v>107</v>
      </c>
      <c r="B97" s="0" t="s">
        <v>83</v>
      </c>
      <c r="C97" s="7" t="n">
        <v>1190284.31</v>
      </c>
      <c r="D97" s="7" t="n">
        <v>1190284.31</v>
      </c>
      <c r="E97" s="7" t="n">
        <v>-11012.58</v>
      </c>
      <c r="F97" s="7" t="n">
        <v>1179271.73</v>
      </c>
      <c r="G97" s="7" t="n">
        <f aca="false">ROUND(C97-D97,2)</f>
        <v>0</v>
      </c>
      <c r="H97" s="7" t="n">
        <f aca="false">ROUND(C97+E97-F97,2)</f>
        <v>0</v>
      </c>
    </row>
    <row r="98" customFormat="false" ht="15" hidden="false" customHeight="false" outlineLevel="0" collapsed="false">
      <c r="A98" s="0" t="s">
        <v>108</v>
      </c>
      <c r="B98" s="0" t="s">
        <v>82</v>
      </c>
      <c r="C98" s="7" t="n">
        <v>710975363.69</v>
      </c>
      <c r="D98" s="7" t="n">
        <v>710975363.69</v>
      </c>
      <c r="E98" s="7" t="n">
        <v>26616956.41</v>
      </c>
      <c r="F98" s="7" t="n">
        <v>737592320.1</v>
      </c>
      <c r="G98" s="7" t="n">
        <f aca="false">ROUND(C98-D98,2)</f>
        <v>0</v>
      </c>
      <c r="H98" s="7" t="n">
        <f aca="false">ROUND(C98+E98-F98,2)</f>
        <v>0</v>
      </c>
    </row>
    <row r="99" customFormat="false" ht="15" hidden="false" customHeight="false" outlineLevel="0" collapsed="false">
      <c r="A99" s="0" t="s">
        <v>108</v>
      </c>
      <c r="B99" s="0" t="s">
        <v>83</v>
      </c>
      <c r="C99" s="7" t="n">
        <v>6064407.77</v>
      </c>
      <c r="D99" s="7" t="n">
        <v>6064407.77</v>
      </c>
      <c r="E99" s="7" t="n">
        <v>-56108.28</v>
      </c>
      <c r="F99" s="7" t="n">
        <v>6008299.49</v>
      </c>
      <c r="G99" s="7" t="n">
        <f aca="false">ROUND(C99-D99,2)</f>
        <v>0</v>
      </c>
      <c r="H99" s="7" t="n">
        <f aca="false">ROUND(C99+E99-F99,2)</f>
        <v>0</v>
      </c>
    </row>
    <row r="100" customFormat="false" ht="15" hidden="false" customHeight="false" outlineLevel="0" collapsed="false">
      <c r="A100" s="0" t="s">
        <v>109</v>
      </c>
      <c r="B100" s="0" t="s">
        <v>82</v>
      </c>
      <c r="C100" s="7" t="n">
        <v>9700000000</v>
      </c>
      <c r="D100" s="7" t="n">
        <v>9700000000</v>
      </c>
      <c r="E100" s="7" t="n">
        <v>1707186376.72</v>
      </c>
      <c r="F100" s="7" t="n">
        <v>11407186376.72</v>
      </c>
      <c r="G100" s="7" t="n">
        <f aca="false">ROUND(C100-D100,2)</f>
        <v>0</v>
      </c>
      <c r="H100" s="7" t="n">
        <f aca="false">ROUND(C100+E100-F100,2)</f>
        <v>0</v>
      </c>
    </row>
    <row r="101" customFormat="false" ht="15" hidden="false" customHeight="false" outlineLevel="0" collapsed="false">
      <c r="A101" s="0" t="s">
        <v>109</v>
      </c>
      <c r="B101" s="0" t="s">
        <v>83</v>
      </c>
      <c r="C101" s="7" t="n">
        <v>128647713.06</v>
      </c>
      <c r="D101" s="7" t="n">
        <v>128647713.06</v>
      </c>
      <c r="E101" s="7" t="n">
        <v>-43395670.11</v>
      </c>
      <c r="F101" s="7" t="n">
        <v>85252042.95</v>
      </c>
      <c r="G101" s="7" t="n">
        <f aca="false">ROUND(C101-D101,2)</f>
        <v>0</v>
      </c>
      <c r="H101" s="7" t="n">
        <f aca="false">ROUND(C101+E101-F101,2)</f>
        <v>0</v>
      </c>
    </row>
    <row r="102" customFormat="false" ht="15" hidden="false" customHeight="false" outlineLevel="0" collapsed="false">
      <c r="A102" s="0" t="s">
        <v>109</v>
      </c>
      <c r="B102" s="0" t="s">
        <v>110</v>
      </c>
      <c r="C102" s="7" t="n">
        <v>3113419000</v>
      </c>
      <c r="D102" s="7" t="n">
        <v>3113419000</v>
      </c>
      <c r="E102" s="7" t="n">
        <v>-1572000</v>
      </c>
      <c r="F102" s="7" t="n">
        <v>3111847000</v>
      </c>
      <c r="G102" s="7" t="n">
        <f aca="false">ROUND(C102-D102,2)</f>
        <v>0</v>
      </c>
      <c r="H102" s="7" t="n">
        <f aca="false">ROUND(C102+E102-F102,2)</f>
        <v>0</v>
      </c>
    </row>
    <row r="103" customFormat="false" ht="15" hidden="false" customHeight="false" outlineLevel="0" collapsed="false">
      <c r="A103" s="0" t="s">
        <v>109</v>
      </c>
      <c r="B103" s="0" t="s">
        <v>111</v>
      </c>
      <c r="C103" s="7" t="n">
        <v>4990315000</v>
      </c>
      <c r="D103" s="7" t="n">
        <v>4990315000</v>
      </c>
      <c r="E103" s="7" t="n">
        <v>-1878060000</v>
      </c>
      <c r="F103" s="7" t="n">
        <v>3112255000</v>
      </c>
      <c r="G103" s="7" t="n">
        <f aca="false">ROUND(C103-D103,2)</f>
        <v>0</v>
      </c>
      <c r="H103" s="7" t="n">
        <f aca="false">ROUND(C103+E103-F103,2)</f>
        <v>0</v>
      </c>
    </row>
    <row r="104" customFormat="false" ht="15" hidden="false" customHeight="false" outlineLevel="0" collapsed="false">
      <c r="A104" s="0" t="s">
        <v>112</v>
      </c>
      <c r="B104" s="0" t="s">
        <v>82</v>
      </c>
      <c r="C104" s="7" t="n">
        <v>177951791.22</v>
      </c>
      <c r="D104" s="7" t="n">
        <v>177951791.22</v>
      </c>
      <c r="E104" s="7" t="n">
        <v>4200313.75</v>
      </c>
      <c r="F104" s="7" t="n">
        <v>182152104.97</v>
      </c>
      <c r="G104" s="7" t="n">
        <f aca="false">ROUND(C104-D104,2)</f>
        <v>0</v>
      </c>
      <c r="H104" s="7" t="n">
        <f aca="false">ROUND(C104+E104-F104,2)</f>
        <v>0</v>
      </c>
    </row>
    <row r="105" customFormat="false" ht="15" hidden="false" customHeight="false" outlineLevel="0" collapsed="false">
      <c r="A105" s="0" t="s">
        <v>112</v>
      </c>
      <c r="B105" s="0" t="s">
        <v>83</v>
      </c>
      <c r="C105" s="7" t="n">
        <v>1517875.69</v>
      </c>
      <c r="D105" s="7" t="n">
        <v>1517875.69</v>
      </c>
      <c r="E105" s="7" t="n">
        <v>-14043.48</v>
      </c>
      <c r="F105" s="7" t="n">
        <v>1503832.21</v>
      </c>
      <c r="G105" s="7" t="n">
        <f aca="false">ROUND(C105-D105,2)</f>
        <v>0</v>
      </c>
      <c r="H105" s="7" t="n">
        <f aca="false">ROUND(C105+E105-F105,2)</f>
        <v>0</v>
      </c>
    </row>
    <row r="106" customFormat="false" ht="15" hidden="false" customHeight="false" outlineLevel="0" collapsed="false">
      <c r="A106" s="10" t="s">
        <v>113</v>
      </c>
      <c r="C106" s="7" t="n">
        <f aca="false">SUM(C51:C105)</f>
        <v>31046823000</v>
      </c>
      <c r="D106" s="7" t="n">
        <f aca="false">SUM(D51:D105)</f>
        <v>31046823000</v>
      </c>
      <c r="E106" s="7" t="n">
        <f aca="false">SUM(E51:E105)</f>
        <v>5384475000</v>
      </c>
      <c r="F106" s="7" t="n">
        <f aca="false">SUM(F51:F105)</f>
        <v>36431298000</v>
      </c>
      <c r="G106" s="7" t="n">
        <f aca="false">SUM(G51:G105)</f>
        <v>0</v>
      </c>
      <c r="H106" s="7" t="n">
        <f aca="false">SUM(H51:H105)</f>
        <v>0</v>
      </c>
    </row>
    <row r="107" customFormat="false" ht="15" hidden="false" customHeight="false" outlineLevel="0" collapsed="false">
      <c r="A107" s="0" t="s">
        <v>114</v>
      </c>
      <c r="G107" s="0" t="n">
        <f aca="false">COUNTIF(G51:G105,"&lt;&gt;0")</f>
        <v>0</v>
      </c>
      <c r="H107" s="0" t="n">
        <f aca="false">COUNTIF(H51:H105,"&lt;&gt;0")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16" min="3" style="0" width="17"/>
  </cols>
  <sheetData>
    <row r="1" customFormat="false" ht="15" hidden="false" customHeight="false" outlineLevel="0" collapsed="false">
      <c r="A1" s="6" t="s">
        <v>115</v>
      </c>
    </row>
    <row r="3" customFormat="false" ht="41.75" hidden="false" customHeight="false" outlineLevel="0" collapsed="false">
      <c r="A3" s="1" t="s">
        <v>116</v>
      </c>
      <c r="B3" s="1" t="s">
        <v>73</v>
      </c>
      <c r="C3" s="1" t="s">
        <v>117</v>
      </c>
      <c r="D3" s="1" t="s">
        <v>118</v>
      </c>
      <c r="E3" s="1" t="s">
        <v>119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127</v>
      </c>
      <c r="N3" s="1" t="s">
        <v>128</v>
      </c>
      <c r="O3" s="1" t="s">
        <v>129</v>
      </c>
      <c r="P3" s="1" t="s">
        <v>130</v>
      </c>
    </row>
    <row r="4" customFormat="false" ht="15" hidden="false" customHeight="false" outlineLevel="0" collapsed="false">
      <c r="A4" s="0" t="s">
        <v>131</v>
      </c>
      <c r="B4" s="0" t="s">
        <v>81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-67229098.08</v>
      </c>
      <c r="H4" s="7" t="n">
        <v>6000000</v>
      </c>
      <c r="I4" s="7" t="n">
        <v>10815910.35</v>
      </c>
      <c r="J4" s="7" t="n">
        <v>0</v>
      </c>
      <c r="K4" s="7" t="n">
        <v>80705131.94</v>
      </c>
      <c r="L4" s="7" t="n">
        <v>0</v>
      </c>
      <c r="M4" s="7" t="n">
        <v>622411274.17</v>
      </c>
      <c r="N4" s="7" t="n">
        <v>-58529.93</v>
      </c>
      <c r="O4" s="7" t="n">
        <f aca="false">SUM(C4:N4)</f>
        <v>652644688.45</v>
      </c>
      <c r="P4" s="0" t="n">
        <v>15089</v>
      </c>
    </row>
    <row r="5" customFormat="false" ht="15" hidden="false" customHeight="false" outlineLevel="0" collapsed="false">
      <c r="A5" s="0" t="s">
        <v>131</v>
      </c>
      <c r="B5" s="0" t="s">
        <v>84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-52976264.23</v>
      </c>
      <c r="H5" s="7" t="n">
        <v>60000000</v>
      </c>
      <c r="I5" s="7" t="n">
        <v>8522894.71</v>
      </c>
      <c r="J5" s="7" t="n">
        <v>0</v>
      </c>
      <c r="K5" s="7" t="n">
        <v>49697408.68</v>
      </c>
      <c r="L5" s="7" t="n">
        <v>-1500000</v>
      </c>
      <c r="M5" s="7" t="n">
        <v>490457630.27</v>
      </c>
      <c r="N5" s="7" t="n">
        <v>-46121.36</v>
      </c>
      <c r="O5" s="7" t="n">
        <f aca="false">SUM(C5:N5)</f>
        <v>554155548.07</v>
      </c>
      <c r="P5" s="0" t="n">
        <v>16958</v>
      </c>
    </row>
    <row r="6" customFormat="false" ht="15" hidden="false" customHeight="false" outlineLevel="0" collapsed="false">
      <c r="A6" s="0" t="s">
        <v>131</v>
      </c>
      <c r="B6" s="0" t="s">
        <v>85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-17372925.03</v>
      </c>
      <c r="H6" s="7" t="n">
        <v>2500000</v>
      </c>
      <c r="I6" s="7" t="n">
        <v>2794980.22</v>
      </c>
      <c r="J6" s="7" t="n">
        <v>0</v>
      </c>
      <c r="K6" s="7" t="n">
        <v>18078661.06</v>
      </c>
      <c r="L6" s="7" t="n">
        <v>-1500000</v>
      </c>
      <c r="M6" s="7" t="n">
        <v>160839647.03</v>
      </c>
      <c r="N6" s="7" t="n">
        <v>-15124.94</v>
      </c>
      <c r="O6" s="7" t="n">
        <f aca="false">SUM(C6:N6)</f>
        <v>165325238.34</v>
      </c>
      <c r="P6" s="0" t="n">
        <v>13589</v>
      </c>
    </row>
    <row r="7" customFormat="false" ht="15" hidden="false" customHeight="false" outlineLevel="0" collapsed="false">
      <c r="A7" s="0" t="s">
        <v>131</v>
      </c>
      <c r="B7" s="0" t="s">
        <v>86</v>
      </c>
      <c r="C7" s="7" t="n">
        <v>9000000</v>
      </c>
      <c r="D7" s="7" t="n">
        <v>-20187528</v>
      </c>
      <c r="E7" s="7" t="n">
        <v>-637920.85</v>
      </c>
      <c r="F7" s="7" t="n">
        <v>22069825</v>
      </c>
      <c r="G7" s="7" t="n">
        <v>-45762396.35</v>
      </c>
      <c r="H7" s="7" t="n">
        <v>213117703</v>
      </c>
      <c r="I7" s="7" t="n">
        <v>8513240.54</v>
      </c>
      <c r="J7" s="7" t="n">
        <v>0</v>
      </c>
      <c r="K7" s="7" t="n">
        <v>59295461.73</v>
      </c>
      <c r="L7" s="7" t="n">
        <v>0</v>
      </c>
      <c r="M7" s="7" t="n">
        <v>555100589.86</v>
      </c>
      <c r="N7" s="7" t="n">
        <v>0</v>
      </c>
      <c r="O7" s="7" t="n">
        <f aca="false">SUM(C7:N7)</f>
        <v>800508974.93</v>
      </c>
      <c r="P7" s="0" t="n">
        <v>13324</v>
      </c>
    </row>
    <row r="8" customFormat="false" ht="15" hidden="false" customHeight="false" outlineLevel="0" collapsed="false">
      <c r="A8" s="0" t="s">
        <v>131</v>
      </c>
      <c r="B8" s="0" t="s">
        <v>87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-7016794.73</v>
      </c>
      <c r="H8" s="7" t="n">
        <v>30000000</v>
      </c>
      <c r="I8" s="7" t="n">
        <v>1128871.65</v>
      </c>
      <c r="J8" s="7" t="n">
        <v>0</v>
      </c>
      <c r="K8" s="7" t="n">
        <v>10625523.44</v>
      </c>
      <c r="L8" s="7" t="n">
        <v>0</v>
      </c>
      <c r="M8" s="7" t="n">
        <v>64961932.71</v>
      </c>
      <c r="N8" s="7" t="n">
        <v>-6108.85</v>
      </c>
      <c r="O8" s="7" t="n">
        <f aca="false">SUM(C8:N8)</f>
        <v>99693424.22</v>
      </c>
      <c r="P8" s="0" t="n">
        <v>13331</v>
      </c>
    </row>
    <row r="9" customFormat="false" ht="15" hidden="false" customHeight="false" outlineLevel="0" collapsed="false">
      <c r="A9" s="0" t="s">
        <v>131</v>
      </c>
      <c r="B9" s="0" t="s">
        <v>89</v>
      </c>
      <c r="C9" s="7" t="n">
        <v>0</v>
      </c>
      <c r="D9" s="7" t="n">
        <v>0</v>
      </c>
      <c r="E9" s="7" t="n">
        <v>-0.01</v>
      </c>
      <c r="F9" s="7" t="n">
        <v>0</v>
      </c>
      <c r="G9" s="7" t="n">
        <v>-43271046.14</v>
      </c>
      <c r="H9" s="7" t="n">
        <v>55000000</v>
      </c>
      <c r="I9" s="7" t="n">
        <v>6961505.79</v>
      </c>
      <c r="J9" s="7" t="n">
        <v>0</v>
      </c>
      <c r="K9" s="7" t="n">
        <v>47004695.27</v>
      </c>
      <c r="L9" s="7" t="n">
        <v>0</v>
      </c>
      <c r="M9" s="7" t="n">
        <v>400606102.73</v>
      </c>
      <c r="N9" s="7" t="n">
        <v>-37671.95</v>
      </c>
      <c r="O9" s="7" t="n">
        <f aca="false">SUM(C9:N9)</f>
        <v>466263585.69</v>
      </c>
      <c r="P9" s="0" t="n">
        <v>16419</v>
      </c>
    </row>
    <row r="10" customFormat="false" ht="15" hidden="false" customHeight="false" outlineLevel="0" collapsed="false">
      <c r="A10" s="0" t="s">
        <v>131</v>
      </c>
      <c r="B10" s="0" t="s">
        <v>91</v>
      </c>
      <c r="C10" s="7" t="n">
        <v>0</v>
      </c>
      <c r="D10" s="7" t="n">
        <v>-18803816</v>
      </c>
      <c r="E10" s="7" t="n">
        <v>0</v>
      </c>
      <c r="F10" s="7" t="n">
        <v>20760742</v>
      </c>
      <c r="G10" s="7" t="n">
        <v>0</v>
      </c>
      <c r="H10" s="7" t="n">
        <v>113043074</v>
      </c>
      <c r="I10" s="7" t="n">
        <v>0</v>
      </c>
      <c r="J10" s="7" t="n">
        <v>0</v>
      </c>
      <c r="K10" s="7" t="n">
        <v>15311772.8</v>
      </c>
      <c r="L10" s="7" t="n">
        <v>0</v>
      </c>
      <c r="M10" s="7" t="n">
        <v>64119251.05</v>
      </c>
      <c r="N10" s="7" t="n">
        <v>0</v>
      </c>
      <c r="O10" s="7" t="n">
        <f aca="false">SUM(C10:N10)</f>
        <v>194431023.85</v>
      </c>
      <c r="P10" s="0" t="n">
        <v>4944</v>
      </c>
    </row>
    <row r="11" customFormat="false" ht="15" hidden="false" customHeight="false" outlineLevel="0" collapsed="false">
      <c r="A11" s="0" t="s">
        <v>131</v>
      </c>
      <c r="B11" s="0" t="s">
        <v>92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-15794365.46</v>
      </c>
      <c r="H11" s="7" t="n">
        <v>0</v>
      </c>
      <c r="I11" s="7" t="n">
        <v>2541019.38</v>
      </c>
      <c r="J11" s="7" t="n">
        <v>0</v>
      </c>
      <c r="K11" s="7" t="n">
        <v>18902224.8</v>
      </c>
      <c r="L11" s="7" t="n">
        <v>0</v>
      </c>
      <c r="M11" s="7" t="n">
        <v>146225241.95</v>
      </c>
      <c r="N11" s="7" t="n">
        <v>-13750.64</v>
      </c>
      <c r="O11" s="7" t="n">
        <f aca="false">SUM(C11:N11)</f>
        <v>151860370.03</v>
      </c>
      <c r="P11" s="0" t="n">
        <v>13120</v>
      </c>
    </row>
    <row r="12" customFormat="false" ht="15" hidden="false" customHeight="false" outlineLevel="0" collapsed="false">
      <c r="A12" s="0" t="s">
        <v>131</v>
      </c>
      <c r="B12" s="0" t="s">
        <v>94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-52943133.98</v>
      </c>
      <c r="H12" s="7" t="n">
        <v>6500000</v>
      </c>
      <c r="I12" s="7" t="n">
        <v>8517564.67</v>
      </c>
      <c r="J12" s="7" t="n">
        <v>0</v>
      </c>
      <c r="K12" s="7" t="n">
        <v>56115770.07</v>
      </c>
      <c r="L12" s="7" t="n">
        <v>0</v>
      </c>
      <c r="M12" s="7" t="n">
        <v>490150908.19</v>
      </c>
      <c r="N12" s="7" t="n">
        <v>-46092.51</v>
      </c>
      <c r="O12" s="7" t="n">
        <f aca="false">SUM(C12:N12)</f>
        <v>508295016.44</v>
      </c>
      <c r="P12" s="0" t="n">
        <v>14499</v>
      </c>
    </row>
    <row r="13" customFormat="false" ht="15" hidden="false" customHeight="false" outlineLevel="0" collapsed="false">
      <c r="A13" s="0" t="s">
        <v>131</v>
      </c>
      <c r="B13" s="0" t="s">
        <v>96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-7421178.81</v>
      </c>
      <c r="H13" s="7" t="n">
        <v>0</v>
      </c>
      <c r="I13" s="7" t="n">
        <v>1193929.52</v>
      </c>
      <c r="J13" s="7" t="n">
        <v>0</v>
      </c>
      <c r="K13" s="7" t="n">
        <v>7717122.72</v>
      </c>
      <c r="L13" s="7" t="n">
        <v>0</v>
      </c>
      <c r="M13" s="7" t="n">
        <v>68705746.35</v>
      </c>
      <c r="N13" s="7" t="n">
        <v>-6460.91</v>
      </c>
      <c r="O13" s="7" t="n">
        <f aca="false">SUM(C13:N13)</f>
        <v>70189158.87</v>
      </c>
      <c r="P13" s="0" t="n">
        <v>12220</v>
      </c>
    </row>
    <row r="14" customFormat="false" ht="15" hidden="false" customHeight="false" outlineLevel="0" collapsed="false">
      <c r="A14" s="0" t="s">
        <v>131</v>
      </c>
      <c r="B14" s="0" t="s">
        <v>97</v>
      </c>
      <c r="C14" s="7" t="n">
        <v>6371000</v>
      </c>
      <c r="D14" s="7" t="n">
        <v>-18090294</v>
      </c>
      <c r="E14" s="7" t="n">
        <v>-58079.14</v>
      </c>
      <c r="F14" s="7" t="n">
        <v>19980421</v>
      </c>
      <c r="G14" s="7" t="n">
        <v>-3475058.62</v>
      </c>
      <c r="H14" s="7" t="n">
        <v>110109873</v>
      </c>
      <c r="I14" s="7" t="n">
        <v>663668.67</v>
      </c>
      <c r="J14" s="7" t="n">
        <v>0</v>
      </c>
      <c r="K14" s="7" t="n">
        <v>13121793.5</v>
      </c>
      <c r="L14" s="7" t="n">
        <v>0</v>
      </c>
      <c r="M14" s="7" t="n">
        <v>50486456.79</v>
      </c>
      <c r="N14" s="7" t="n">
        <v>0</v>
      </c>
      <c r="O14" s="7" t="n">
        <f aca="false">SUM(C14:N14)</f>
        <v>179109781.2</v>
      </c>
      <c r="P14" s="0" t="n">
        <v>7051</v>
      </c>
    </row>
    <row r="15" customFormat="false" ht="15" hidden="false" customHeight="false" outlineLevel="0" collapsed="false">
      <c r="A15" s="0" t="s">
        <v>131</v>
      </c>
      <c r="B15" s="0" t="s">
        <v>98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-72324337.57</v>
      </c>
      <c r="H15" s="7" t="n">
        <v>8000000</v>
      </c>
      <c r="I15" s="7" t="n">
        <v>11635639.53</v>
      </c>
      <c r="J15" s="7" t="n">
        <v>0</v>
      </c>
      <c r="K15" s="7" t="n">
        <v>73669293.05</v>
      </c>
      <c r="L15" s="7" t="n">
        <v>0</v>
      </c>
      <c r="M15" s="7" t="n">
        <v>669583326.13</v>
      </c>
      <c r="N15" s="7" t="n">
        <v>-62965.87</v>
      </c>
      <c r="O15" s="7" t="n">
        <f aca="false">SUM(C15:N15)</f>
        <v>690500955.27</v>
      </c>
      <c r="P15" s="0" t="n">
        <v>15492</v>
      </c>
    </row>
    <row r="16" customFormat="false" ht="15" hidden="false" customHeight="false" outlineLevel="0" collapsed="false">
      <c r="A16" s="0" t="s">
        <v>131</v>
      </c>
      <c r="B16" s="0" t="s">
        <v>99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-19259401.16</v>
      </c>
      <c r="H16" s="7" t="n">
        <v>0</v>
      </c>
      <c r="I16" s="7" t="n">
        <v>3098479.11</v>
      </c>
      <c r="J16" s="7" t="n">
        <v>0</v>
      </c>
      <c r="K16" s="7" t="n">
        <v>23522940.72</v>
      </c>
      <c r="L16" s="7" t="n">
        <v>0</v>
      </c>
      <c r="M16" s="7" t="n">
        <v>178304763.23</v>
      </c>
      <c r="N16" s="7" t="n">
        <v>-16767.31</v>
      </c>
      <c r="O16" s="7" t="n">
        <f aca="false">SUM(C16:N16)</f>
        <v>185650014.59</v>
      </c>
      <c r="P16" s="0" t="n">
        <v>13588</v>
      </c>
    </row>
    <row r="17" customFormat="false" ht="15" hidden="false" customHeight="false" outlineLevel="0" collapsed="false">
      <c r="A17" s="0" t="s">
        <v>131</v>
      </c>
      <c r="B17" s="0" t="s">
        <v>100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-7985367.69</v>
      </c>
      <c r="H17" s="7" t="n">
        <v>0</v>
      </c>
      <c r="I17" s="7" t="n">
        <v>1284697.01</v>
      </c>
      <c r="J17" s="7" t="n">
        <v>0</v>
      </c>
      <c r="K17" s="7" t="n">
        <v>6472341.36</v>
      </c>
      <c r="L17" s="7" t="n">
        <v>0</v>
      </c>
      <c r="M17" s="7" t="n">
        <v>73929042.98</v>
      </c>
      <c r="N17" s="7" t="n">
        <v>-6952.09</v>
      </c>
      <c r="O17" s="7" t="n">
        <f aca="false">SUM(C17:N17)</f>
        <v>73693761.57</v>
      </c>
      <c r="P17" s="0" t="n">
        <v>12364</v>
      </c>
    </row>
    <row r="18" customFormat="false" ht="15" hidden="false" customHeight="false" outlineLevel="0" collapsed="false">
      <c r="A18" s="0" t="s">
        <v>131</v>
      </c>
      <c r="B18" s="0" t="s">
        <v>101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-67443470.36</v>
      </c>
      <c r="H18" s="7" t="n">
        <v>9000000</v>
      </c>
      <c r="I18" s="7" t="n">
        <v>10850398.86</v>
      </c>
      <c r="J18" s="7" t="n">
        <v>0</v>
      </c>
      <c r="K18" s="7" t="n">
        <v>60736221.72</v>
      </c>
      <c r="L18" s="7" t="n">
        <v>0</v>
      </c>
      <c r="M18" s="7" t="n">
        <v>624395946.46</v>
      </c>
      <c r="N18" s="7" t="n">
        <v>-58716.57</v>
      </c>
      <c r="O18" s="7" t="n">
        <f aca="false">SUM(C18:N18)</f>
        <v>637480380.11</v>
      </c>
      <c r="P18" s="0" t="n">
        <v>15391</v>
      </c>
    </row>
    <row r="19" customFormat="false" ht="15" hidden="false" customHeight="false" outlineLevel="0" collapsed="false">
      <c r="A19" s="0" t="s">
        <v>131</v>
      </c>
      <c r="B19" s="0" t="s">
        <v>102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-8998763.97</v>
      </c>
      <c r="H19" s="7" t="n">
        <v>0</v>
      </c>
      <c r="I19" s="7" t="n">
        <v>1447733.6</v>
      </c>
      <c r="J19" s="7" t="n">
        <v>0</v>
      </c>
      <c r="K19" s="7" t="n">
        <v>9445982.04</v>
      </c>
      <c r="L19" s="7" t="n">
        <v>0</v>
      </c>
      <c r="M19" s="7" t="n">
        <v>83311130.2</v>
      </c>
      <c r="N19" s="7" t="n">
        <v>-7834.36</v>
      </c>
      <c r="O19" s="7" t="n">
        <f aca="false">SUM(C19:N19)</f>
        <v>85198247.51</v>
      </c>
      <c r="P19" s="0" t="n">
        <v>12652</v>
      </c>
    </row>
    <row r="20" customFormat="false" ht="15" hidden="false" customHeight="false" outlineLevel="0" collapsed="false">
      <c r="A20" s="0" t="s">
        <v>131</v>
      </c>
      <c r="B20" s="0" t="s">
        <v>103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-17179015.56</v>
      </c>
      <c r="H20" s="7" t="n">
        <v>3492000</v>
      </c>
      <c r="I20" s="7" t="n">
        <v>2763783.8</v>
      </c>
      <c r="J20" s="7" t="n">
        <v>0</v>
      </c>
      <c r="K20" s="7" t="n">
        <v>14799070.39</v>
      </c>
      <c r="L20" s="7" t="n">
        <v>0</v>
      </c>
      <c r="M20" s="7" t="n">
        <v>159044420.73</v>
      </c>
      <c r="N20" s="7" t="n">
        <v>-14956.12</v>
      </c>
      <c r="O20" s="7" t="n">
        <f aca="false">SUM(C20:N20)</f>
        <v>162905303.24</v>
      </c>
      <c r="P20" s="0" t="n">
        <v>13461</v>
      </c>
    </row>
    <row r="21" customFormat="false" ht="15" hidden="false" customHeight="false" outlineLevel="0" collapsed="false">
      <c r="A21" s="0" t="s">
        <v>131</v>
      </c>
      <c r="B21" s="0" t="s">
        <v>104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-61567720.86</v>
      </c>
      <c r="H21" s="7" t="n">
        <v>4000000</v>
      </c>
      <c r="I21" s="7" t="n">
        <v>9905100.14</v>
      </c>
      <c r="J21" s="7" t="n">
        <v>0</v>
      </c>
      <c r="K21" s="7" t="n">
        <v>51299665.19</v>
      </c>
      <c r="L21" s="7" t="n">
        <v>-2128000</v>
      </c>
      <c r="M21" s="7" t="n">
        <v>569997883.12</v>
      </c>
      <c r="N21" s="7" t="n">
        <v>-53601.11</v>
      </c>
      <c r="O21" s="7" t="n">
        <f aca="false">SUM(C21:N21)</f>
        <v>571453326.48</v>
      </c>
      <c r="P21" s="0" t="n">
        <v>14711</v>
      </c>
    </row>
    <row r="22" customFormat="false" ht="15" hidden="false" customHeight="false" outlineLevel="0" collapsed="false">
      <c r="A22" s="0" t="s">
        <v>131</v>
      </c>
      <c r="B22" s="0" t="s">
        <v>105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-22484729.66</v>
      </c>
      <c r="H22" s="7" t="n">
        <v>3000000</v>
      </c>
      <c r="I22" s="7" t="n">
        <v>3617374.43</v>
      </c>
      <c r="J22" s="7" t="n">
        <v>0</v>
      </c>
      <c r="K22" s="7" t="n">
        <v>26601695.36</v>
      </c>
      <c r="L22" s="7" t="n">
        <v>-2000000</v>
      </c>
      <c r="M22" s="7" t="n">
        <v>208165060.03</v>
      </c>
      <c r="N22" s="7" t="n">
        <v>-19575.3</v>
      </c>
      <c r="O22" s="7" t="n">
        <f aca="false">SUM(C22:N22)</f>
        <v>216879824.86</v>
      </c>
      <c r="P22" s="0" t="n">
        <v>14053</v>
      </c>
    </row>
    <row r="23" customFormat="false" ht="15" hidden="false" customHeight="false" outlineLevel="0" collapsed="false">
      <c r="A23" s="0" t="s">
        <v>131</v>
      </c>
      <c r="B23" s="0" t="s">
        <v>106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-66874409.38</v>
      </c>
      <c r="H23" s="7" t="n">
        <v>7500000</v>
      </c>
      <c r="I23" s="7" t="n">
        <v>10758847.54</v>
      </c>
      <c r="J23" s="7" t="n">
        <v>0</v>
      </c>
      <c r="K23" s="7" t="n">
        <v>68516864.63</v>
      </c>
      <c r="L23" s="7" t="n">
        <v>0</v>
      </c>
      <c r="M23" s="7" t="n">
        <v>619127543.65</v>
      </c>
      <c r="N23" s="7" t="n">
        <v>-58221.14</v>
      </c>
      <c r="O23" s="7" t="n">
        <f aca="false">SUM(C23:N23)</f>
        <v>638970625.3</v>
      </c>
      <c r="P23" s="0" t="n">
        <v>15009</v>
      </c>
    </row>
    <row r="24" customFormat="false" ht="15" hidden="false" customHeight="false" outlineLevel="0" collapsed="false">
      <c r="A24" s="0" t="s">
        <v>131</v>
      </c>
      <c r="B24" s="0" t="s">
        <v>107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-15202892.83</v>
      </c>
      <c r="H24" s="7" t="n">
        <v>0</v>
      </c>
      <c r="I24" s="7" t="n">
        <v>2445862.44</v>
      </c>
      <c r="J24" s="7" t="n">
        <v>0</v>
      </c>
      <c r="K24" s="7" t="n">
        <v>18595109.64</v>
      </c>
      <c r="L24" s="7" t="n">
        <v>0</v>
      </c>
      <c r="M24" s="7" t="n">
        <v>140749350.66</v>
      </c>
      <c r="N24" s="7" t="n">
        <v>-13235.7</v>
      </c>
      <c r="O24" s="7" t="n">
        <f aca="false">SUM(C24:N24)</f>
        <v>146574194.21</v>
      </c>
      <c r="P24" s="0" t="n">
        <v>12832</v>
      </c>
    </row>
    <row r="25" customFormat="false" ht="15" hidden="false" customHeight="false" outlineLevel="0" collapsed="false">
      <c r="A25" s="0" t="s">
        <v>131</v>
      </c>
      <c r="B25" s="0" t="s">
        <v>108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-77457579.42</v>
      </c>
      <c r="H25" s="7" t="n">
        <v>11000000</v>
      </c>
      <c r="I25" s="7" t="n">
        <v>12461482.58</v>
      </c>
      <c r="J25" s="7" t="n">
        <v>0</v>
      </c>
      <c r="K25" s="7" t="n">
        <v>80556944.97</v>
      </c>
      <c r="L25" s="7" t="n">
        <v>0</v>
      </c>
      <c r="M25" s="7" t="n">
        <v>717107206.35</v>
      </c>
      <c r="N25" s="7" t="n">
        <v>-67434.89</v>
      </c>
      <c r="O25" s="7" t="n">
        <f aca="false">SUM(C25:N25)</f>
        <v>743600619.59</v>
      </c>
      <c r="P25" s="0" t="n">
        <v>15770</v>
      </c>
    </row>
    <row r="26" customFormat="false" ht="15" hidden="false" customHeight="false" outlineLevel="0" collapsed="false">
      <c r="A26" s="0" t="s">
        <v>131</v>
      </c>
      <c r="B26" s="0" t="s">
        <v>112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-19387050.11</v>
      </c>
      <c r="H26" s="7" t="n">
        <v>0</v>
      </c>
      <c r="I26" s="7" t="n">
        <v>3119015.46</v>
      </c>
      <c r="J26" s="7" t="n">
        <v>0</v>
      </c>
      <c r="K26" s="7" t="n">
        <v>20454304.92</v>
      </c>
      <c r="L26" s="7" t="n">
        <v>0</v>
      </c>
      <c r="M26" s="7" t="n">
        <v>179486545.36</v>
      </c>
      <c r="N26" s="7" t="n">
        <v>-16878.45</v>
      </c>
      <c r="O26" s="7" t="n">
        <f aca="false">SUM(C26:N26)</f>
        <v>183655937.18</v>
      </c>
      <c r="P26" s="0" t="n">
        <v>13732</v>
      </c>
    </row>
    <row r="27" customFormat="false" ht="15" hidden="false" customHeight="false" outlineLevel="0" collapsed="false">
      <c r="A27" s="0" t="s">
        <v>132</v>
      </c>
      <c r="B27" s="0" t="s">
        <v>88</v>
      </c>
      <c r="C27" s="7" t="n">
        <v>-8000000</v>
      </c>
      <c r="D27" s="7" t="n">
        <v>-22571724</v>
      </c>
      <c r="E27" s="7" t="n">
        <v>0</v>
      </c>
      <c r="F27" s="7" t="n">
        <v>23958359</v>
      </c>
      <c r="G27" s="7" t="n">
        <v>0</v>
      </c>
      <c r="H27" s="7" t="n">
        <v>1248613365</v>
      </c>
      <c r="I27" s="7" t="n">
        <v>0</v>
      </c>
      <c r="J27" s="7" t="n">
        <v>0</v>
      </c>
      <c r="K27" s="7" t="n">
        <v>192548123.58</v>
      </c>
      <c r="L27" s="7" t="n">
        <v>0</v>
      </c>
      <c r="M27" s="7" t="n">
        <v>900000000</v>
      </c>
      <c r="N27" s="7" t="n">
        <v>0</v>
      </c>
      <c r="O27" s="7" t="n">
        <f aca="false">SUM(C27:N27)</f>
        <v>2334548123.58</v>
      </c>
      <c r="P27" s="0" t="n">
        <v>53249</v>
      </c>
    </row>
    <row r="28" customFormat="false" ht="15" hidden="false" customHeight="false" outlineLevel="0" collapsed="false">
      <c r="A28" s="0" t="s">
        <v>132</v>
      </c>
      <c r="B28" s="0" t="s">
        <v>90</v>
      </c>
      <c r="C28" s="7" t="n">
        <v>-10000000</v>
      </c>
      <c r="D28" s="7" t="n">
        <v>-19859905</v>
      </c>
      <c r="E28" s="7" t="n">
        <v>-3589995.17</v>
      </c>
      <c r="F28" s="7" t="n">
        <v>21139876</v>
      </c>
      <c r="G28" s="7" t="n">
        <v>-34527803.54</v>
      </c>
      <c r="H28" s="7" t="n">
        <v>1578720029</v>
      </c>
      <c r="I28" s="7" t="n">
        <v>16667167.32</v>
      </c>
      <c r="J28" s="7" t="n">
        <v>0</v>
      </c>
      <c r="K28" s="7" t="n">
        <v>452931845.96</v>
      </c>
      <c r="L28" s="7" t="n">
        <v>0</v>
      </c>
      <c r="M28" s="7" t="n">
        <v>2350000000</v>
      </c>
      <c r="N28" s="7" t="n">
        <v>0</v>
      </c>
      <c r="O28" s="7" t="n">
        <f aca="false">SUM(C28:N28)</f>
        <v>4351481214.57</v>
      </c>
      <c r="P28" s="0" t="n">
        <v>69078</v>
      </c>
    </row>
    <row r="29" customFormat="false" ht="15" hidden="false" customHeight="false" outlineLevel="0" collapsed="false">
      <c r="A29" s="0" t="s">
        <v>132</v>
      </c>
      <c r="B29" s="0" t="s">
        <v>93</v>
      </c>
      <c r="C29" s="7" t="n">
        <v>0</v>
      </c>
      <c r="D29" s="7" t="n">
        <v>0</v>
      </c>
      <c r="E29" s="7" t="n">
        <v>-2.42</v>
      </c>
      <c r="F29" s="7" t="n">
        <v>0</v>
      </c>
      <c r="G29" s="7" t="n">
        <v>-172466049.17</v>
      </c>
      <c r="H29" s="7" t="n">
        <v>25000000</v>
      </c>
      <c r="I29" s="7" t="n">
        <v>65989257.11</v>
      </c>
      <c r="J29" s="7" t="n">
        <v>0</v>
      </c>
      <c r="K29" s="7" t="n">
        <v>290565134</v>
      </c>
      <c r="L29" s="7" t="n">
        <v>0</v>
      </c>
      <c r="M29" s="7" t="n">
        <v>1958217710.05</v>
      </c>
      <c r="N29" s="7" t="n">
        <v>-187423.11</v>
      </c>
      <c r="O29" s="7" t="n">
        <f aca="false">SUM(C29:N29)</f>
        <v>2167118626.46</v>
      </c>
      <c r="P29" s="0" t="n">
        <v>17565</v>
      </c>
    </row>
    <row r="30" customFormat="false" ht="15" hidden="false" customHeight="false" outlineLevel="0" collapsed="false">
      <c r="A30" s="0" t="s">
        <v>132</v>
      </c>
      <c r="B30" s="0" t="s">
        <v>95</v>
      </c>
      <c r="C30" s="7" t="n">
        <v>-7884000</v>
      </c>
      <c r="D30" s="7" t="n">
        <v>-22343846</v>
      </c>
      <c r="E30" s="7" t="n">
        <v>0</v>
      </c>
      <c r="F30" s="7" t="n">
        <v>25312872</v>
      </c>
      <c r="G30" s="7" t="n">
        <v>0</v>
      </c>
      <c r="H30" s="7" t="n">
        <v>974086974</v>
      </c>
      <c r="I30" s="7" t="n">
        <v>0</v>
      </c>
      <c r="J30" s="7" t="n">
        <v>0</v>
      </c>
      <c r="K30" s="7" t="n">
        <v>143626615.72</v>
      </c>
      <c r="L30" s="7" t="n">
        <v>0</v>
      </c>
      <c r="M30" s="7" t="n">
        <v>569771000</v>
      </c>
      <c r="N30" s="7" t="n">
        <v>0</v>
      </c>
      <c r="O30" s="7" t="n">
        <f aca="false">SUM(C30:N30)</f>
        <v>1682569615.72</v>
      </c>
      <c r="P30" s="0" t="n">
        <v>41635</v>
      </c>
    </row>
    <row r="31" customFormat="false" ht="15" hidden="false" customHeight="false" outlineLevel="0" collapsed="false">
      <c r="A31" s="0" t="s">
        <v>132</v>
      </c>
      <c r="B31" s="0" t="s">
        <v>109</v>
      </c>
      <c r="C31" s="7" t="n">
        <v>0</v>
      </c>
      <c r="D31" s="7" t="n">
        <v>0</v>
      </c>
      <c r="E31" s="7" t="n">
        <v>-2.41</v>
      </c>
      <c r="F31" s="7" t="n">
        <v>0</v>
      </c>
      <c r="G31" s="7" t="n">
        <v>-4327660147.29</v>
      </c>
      <c r="H31" s="7" t="n">
        <v>1850000000</v>
      </c>
      <c r="I31" s="7" t="n">
        <v>1057168575.57</v>
      </c>
      <c r="J31" s="7" t="n">
        <v>0</v>
      </c>
      <c r="K31" s="7" t="n">
        <v>1038319280.74</v>
      </c>
      <c r="L31" s="7" t="n">
        <v>166331000</v>
      </c>
      <c r="M31" s="7" t="n">
        <v>17935384289.95</v>
      </c>
      <c r="N31" s="7" t="n">
        <v>-3002576.89</v>
      </c>
      <c r="O31" s="7" t="n">
        <f aca="false">SUM(C31:N31)</f>
        <v>17716540419.67</v>
      </c>
      <c r="P31" s="0" t="n">
        <v>109524</v>
      </c>
    </row>
    <row r="32" customFormat="false" ht="15" hidden="false" customHeight="false" outlineLevel="0" collapsed="false">
      <c r="A32" s="10" t="s">
        <v>133</v>
      </c>
      <c r="C32" s="7" t="n">
        <f aca="false">SUM(C4:C31)</f>
        <v>-10513000</v>
      </c>
      <c r="D32" s="7" t="n">
        <f aca="false">SUM(D4:D31)</f>
        <v>-121857113</v>
      </c>
      <c r="E32" s="7" t="n">
        <f aca="false">SUM(E4:E31)</f>
        <v>-4286000</v>
      </c>
      <c r="F32" s="7" t="n">
        <f aca="false">SUM(F4:F31)</f>
        <v>133222095</v>
      </c>
      <c r="G32" s="7" t="n">
        <f aca="false">SUM(G4:G31)</f>
        <v>-5304081000</v>
      </c>
      <c r="H32" s="7" t="n">
        <f aca="false">SUM(H4:H31)</f>
        <v>6318683018</v>
      </c>
      <c r="I32" s="7" t="n">
        <f aca="false">SUM(I4:I31)</f>
        <v>1264867000</v>
      </c>
      <c r="J32" s="7" t="n">
        <f aca="false">SUM(J4:J31)</f>
        <v>0</v>
      </c>
      <c r="K32" s="7" t="n">
        <f aca="false">SUM(K4:K31)</f>
        <v>2949237000</v>
      </c>
      <c r="L32" s="7" t="n">
        <f aca="false">SUM(L4:L31)</f>
        <v>159203000</v>
      </c>
      <c r="M32" s="7" t="n">
        <f aca="false">SUM(M4:M31)</f>
        <v>31050640000</v>
      </c>
      <c r="N32" s="7" t="n">
        <f aca="false">SUM(N4:N31)</f>
        <v>-3817000</v>
      </c>
      <c r="O32" s="7" t="n">
        <f aca="false">SUM(O4:O31)</f>
        <v>36431298000</v>
      </c>
      <c r="P32" s="2" t="n">
        <f aca="false">SUM(P4:P31)</f>
        <v>600650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8" min="7" style="0" width="18"/>
  </cols>
  <sheetData>
    <row r="1" customFormat="false" ht="16.15" hidden="false" customHeight="false" outlineLevel="0" collapsed="false">
      <c r="A1" s="5" t="s">
        <v>134</v>
      </c>
    </row>
    <row r="2" customFormat="false" ht="15" hidden="false" customHeight="false" outlineLevel="0" collapsed="false">
      <c r="A2" s="0" t="s">
        <v>27</v>
      </c>
    </row>
    <row r="3" customFormat="false" ht="15" hidden="false" customHeight="false" outlineLevel="0" collapsed="false">
      <c r="A3" s="13" t="s">
        <v>135</v>
      </c>
    </row>
    <row r="4" customFormat="false" ht="15" hidden="false" customHeight="false" outlineLevel="0" collapsed="false">
      <c r="A4" s="6" t="s">
        <v>28</v>
      </c>
    </row>
    <row r="5" customFormat="false" ht="28.35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</row>
    <row r="6" customFormat="false" ht="15" hidden="false" customHeight="false" outlineLevel="0" collapsed="false">
      <c r="A6" s="0" t="s">
        <v>35</v>
      </c>
      <c r="B6" s="7" t="n">
        <v>36463023784.44</v>
      </c>
      <c r="C6" s="8" t="n">
        <f aca="false">ROUND(B6/1000,3)</f>
        <v>36463023.784</v>
      </c>
      <c r="D6" s="9" t="n">
        <v>36431298</v>
      </c>
      <c r="E6" s="8" t="n">
        <f aca="false">ROUND(C6-D6,3)</f>
        <v>31725.784</v>
      </c>
      <c r="F6" s="3" t="s">
        <v>36</v>
      </c>
    </row>
    <row r="8" customFormat="false" ht="15" hidden="false" customHeight="false" outlineLevel="0" collapsed="false">
      <c r="A8" s="6" t="s">
        <v>37</v>
      </c>
    </row>
    <row r="9" customFormat="false" ht="28.35" hidden="false" customHeight="false" outlineLevel="0" collapsed="false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</row>
    <row r="10" customFormat="false" ht="15" hidden="false" customHeight="false" outlineLevel="0" collapsed="false">
      <c r="A10" s="0" t="s">
        <v>38</v>
      </c>
      <c r="B10" s="7" t="n">
        <v>159463000</v>
      </c>
      <c r="C10" s="8" t="n">
        <f aca="false">ROUND(B10/1000,3)</f>
        <v>159463</v>
      </c>
      <c r="D10" s="9" t="n">
        <v>158263</v>
      </c>
      <c r="E10" s="8" t="n">
        <f aca="false">ROUND(C10-D10,3)</f>
        <v>1200</v>
      </c>
      <c r="F10" s="3" t="s">
        <v>39</v>
      </c>
    </row>
    <row r="11" customFormat="false" ht="15" hidden="false" customHeight="false" outlineLevel="0" collapsed="false">
      <c r="A11" s="0" t="s">
        <v>40</v>
      </c>
      <c r="B11" s="7" t="n">
        <v>3112255000</v>
      </c>
      <c r="C11" s="8" t="n">
        <f aca="false">ROUND(B11/1000,3)</f>
        <v>3112255</v>
      </c>
      <c r="D11" s="9" t="n">
        <v>3112255</v>
      </c>
      <c r="E11" s="8" t="n">
        <f aca="false">ROUND(C11-D11,3)</f>
        <v>0</v>
      </c>
      <c r="F11" s="3" t="s">
        <v>39</v>
      </c>
    </row>
    <row r="12" customFormat="false" ht="15" hidden="false" customHeight="false" outlineLevel="0" collapsed="false">
      <c r="A12" s="0" t="s">
        <v>41</v>
      </c>
      <c r="B12" s="7" t="n">
        <v>3111847000</v>
      </c>
      <c r="C12" s="8" t="n">
        <f aca="false">ROUND(B12/1000,3)</f>
        <v>3111847</v>
      </c>
      <c r="D12" s="9" t="n">
        <v>3111847</v>
      </c>
      <c r="E12" s="8" t="n">
        <f aca="false">ROUND(C12-D12,3)</f>
        <v>0</v>
      </c>
      <c r="F12" s="3" t="s">
        <v>39</v>
      </c>
    </row>
    <row r="13" customFormat="false" ht="15" hidden="false" customHeight="false" outlineLevel="0" collapsed="false">
      <c r="A13" s="0" t="s">
        <v>42</v>
      </c>
      <c r="B13" s="7" t="n">
        <v>30079458784.44</v>
      </c>
      <c r="C13" s="8" t="n">
        <f aca="false">ROUND(B13/1000,3)</f>
        <v>30079458.784</v>
      </c>
      <c r="D13" s="9" t="n">
        <v>30048933</v>
      </c>
      <c r="E13" s="8" t="n">
        <f aca="false">ROUND(C13-D13,3)</f>
        <v>30525.784</v>
      </c>
      <c r="F13" s="3" t="s">
        <v>39</v>
      </c>
    </row>
    <row r="14" customFormat="false" ht="15" hidden="false" customHeight="false" outlineLevel="0" collapsed="false">
      <c r="A14" s="10" t="s">
        <v>43</v>
      </c>
      <c r="B14" s="7" t="n">
        <f aca="false">SUM(B10:B13)</f>
        <v>36463023784.44</v>
      </c>
      <c r="C14" s="8" t="n">
        <f aca="false">ROUND(B14/1000,3)</f>
        <v>36463023.784</v>
      </c>
      <c r="D14" s="11" t="n">
        <f aca="false">SUM(D10:D13)</f>
        <v>36431298</v>
      </c>
      <c r="E14" s="8" t="n">
        <f aca="false">ROUND(C14-D14,3)</f>
        <v>31725.784</v>
      </c>
    </row>
    <row r="16" customFormat="false" ht="15" hidden="false" customHeight="false" outlineLevel="0" collapsed="false">
      <c r="A16" s="6" t="s">
        <v>44</v>
      </c>
    </row>
    <row r="17" customFormat="false" ht="28.35" hidden="false" customHeight="false" outlineLevel="0" collapsed="false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34</v>
      </c>
    </row>
    <row r="18" customFormat="false" ht="15" hidden="false" customHeight="false" outlineLevel="0" collapsed="false">
      <c r="A18" s="0" t="s">
        <v>45</v>
      </c>
      <c r="B18" s="7" t="n">
        <v>36303560784.44</v>
      </c>
      <c r="C18" s="8" t="n">
        <f aca="false">ROUND(B18/1000,3)</f>
        <v>36303560.784</v>
      </c>
      <c r="D18" s="9" t="n">
        <v>36273035</v>
      </c>
      <c r="E18" s="8" t="n">
        <f aca="false">ROUND(C18-D18,3)</f>
        <v>30525.784</v>
      </c>
      <c r="F18" s="3" t="s">
        <v>46</v>
      </c>
    </row>
    <row r="20" customFormat="false" ht="15" hidden="false" customHeight="false" outlineLevel="0" collapsed="false">
      <c r="A20" s="6" t="s">
        <v>47</v>
      </c>
    </row>
    <row r="21" customFormat="false" ht="28.35" hidden="false" customHeight="false" outlineLevel="0" collapsed="false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34</v>
      </c>
    </row>
    <row r="22" customFormat="false" ht="15" hidden="false" customHeight="false" outlineLevel="0" collapsed="false">
      <c r="A22" s="0" t="s">
        <v>48</v>
      </c>
      <c r="B22" s="7" t="n">
        <v>31046823000</v>
      </c>
      <c r="C22" s="8" t="n">
        <f aca="false">ROUND(B22/1000,3)</f>
        <v>31046823</v>
      </c>
      <c r="D22" s="9" t="n">
        <v>31046823</v>
      </c>
      <c r="E22" s="8" t="n">
        <f aca="false">ROUND(C22-D22,3)</f>
        <v>0</v>
      </c>
      <c r="F22" s="3" t="s">
        <v>49</v>
      </c>
    </row>
    <row r="23" customFormat="false" ht="15" hidden="false" customHeight="false" outlineLevel="0" collapsed="false">
      <c r="A23" s="0" t="s">
        <v>50</v>
      </c>
      <c r="B23" s="7" t="n">
        <v>6355556132.75</v>
      </c>
      <c r="C23" s="8" t="n">
        <f aca="false">ROUND(B23/1000,3)</f>
        <v>6355556.133</v>
      </c>
      <c r="D23" s="9" t="n">
        <v>6330048</v>
      </c>
      <c r="E23" s="8" t="n">
        <f aca="false">ROUND(C23-D23,3)</f>
        <v>25508.133</v>
      </c>
      <c r="F23" s="3" t="s">
        <v>49</v>
      </c>
    </row>
    <row r="24" customFormat="false" ht="15" hidden="false" customHeight="false" outlineLevel="0" collapsed="false">
      <c r="A24" s="0" t="s">
        <v>51</v>
      </c>
      <c r="B24" s="7" t="n">
        <v>-10513000</v>
      </c>
      <c r="C24" s="8" t="n">
        <f aca="false">ROUND(B24/1000,3)</f>
        <v>-10513</v>
      </c>
      <c r="D24" s="9" t="n">
        <v>-10513</v>
      </c>
      <c r="E24" s="8" t="n">
        <f aca="false">ROUND(C24-D24,3)</f>
        <v>0</v>
      </c>
      <c r="F24" s="3" t="s">
        <v>49</v>
      </c>
    </row>
    <row r="25" customFormat="false" ht="15" hidden="false" customHeight="false" outlineLevel="0" collapsed="false">
      <c r="A25" s="0" t="s">
        <v>52</v>
      </c>
      <c r="B25" s="7" t="n">
        <v>2954254651.69</v>
      </c>
      <c r="C25" s="8" t="n">
        <f aca="false">ROUND(B25/1000,3)</f>
        <v>2954254.652</v>
      </c>
      <c r="D25" s="9" t="n">
        <v>2949237</v>
      </c>
      <c r="E25" s="8" t="n">
        <f aca="false">ROUND(C25-D25,3)</f>
        <v>5017.652</v>
      </c>
      <c r="F25" s="3" t="s">
        <v>49</v>
      </c>
    </row>
    <row r="26" customFormat="false" ht="15" hidden="false" customHeight="false" outlineLevel="0" collapsed="false">
      <c r="A26" s="0" t="s">
        <v>53</v>
      </c>
      <c r="B26" s="7" t="n">
        <v>1264867000</v>
      </c>
      <c r="C26" s="8" t="n">
        <f aca="false">ROUND(B26/1000,3)</f>
        <v>1264867</v>
      </c>
      <c r="D26" s="9" t="n">
        <v>1264867</v>
      </c>
      <c r="E26" s="8" t="n">
        <f aca="false">ROUND(C26-D26,3)</f>
        <v>0</v>
      </c>
      <c r="F26" s="3" t="s">
        <v>49</v>
      </c>
    </row>
    <row r="27" customFormat="false" ht="15" hidden="false" customHeight="false" outlineLevel="0" collapsed="false">
      <c r="A27" s="0" t="s">
        <v>54</v>
      </c>
      <c r="B27" s="7" t="n">
        <v>159203000</v>
      </c>
      <c r="C27" s="8" t="n">
        <f aca="false">ROUND(B27/1000,3)</f>
        <v>159203</v>
      </c>
      <c r="D27" s="9" t="n">
        <v>159203</v>
      </c>
      <c r="E27" s="8" t="n">
        <f aca="false">ROUND(C27-D27,3)</f>
        <v>0</v>
      </c>
      <c r="F27" s="3" t="s">
        <v>49</v>
      </c>
    </row>
    <row r="28" customFormat="false" ht="15" hidden="false" customHeight="false" outlineLevel="0" collapsed="false">
      <c r="A28" s="0" t="s">
        <v>55</v>
      </c>
      <c r="B28" s="7" t="n">
        <v>-3086000</v>
      </c>
      <c r="C28" s="8" t="n">
        <f aca="false">ROUND(B28/1000,3)</f>
        <v>-3086</v>
      </c>
      <c r="D28" s="9" t="n">
        <v>-4286</v>
      </c>
      <c r="E28" s="8" t="n">
        <f aca="false">ROUND(C28-D28,3)</f>
        <v>1200</v>
      </c>
      <c r="F28" s="3" t="s">
        <v>49</v>
      </c>
    </row>
    <row r="29" customFormat="false" ht="15" hidden="false" customHeight="false" outlineLevel="0" collapsed="false">
      <c r="A29" s="0" t="s">
        <v>56</v>
      </c>
      <c r="B29" s="7" t="n">
        <v>-5304081000</v>
      </c>
      <c r="C29" s="8" t="n">
        <f aca="false">ROUND(B29/1000,3)</f>
        <v>-5304081</v>
      </c>
      <c r="D29" s="9" t="n">
        <v>-5304081</v>
      </c>
      <c r="E29" s="8" t="n">
        <f aca="false">ROUND(C29-D29,3)</f>
        <v>0</v>
      </c>
      <c r="F29" s="3" t="s">
        <v>49</v>
      </c>
    </row>
    <row r="30" customFormat="false" ht="15" hidden="false" customHeight="false" outlineLevel="0" collapsed="false">
      <c r="A30" s="0" t="s">
        <v>57</v>
      </c>
      <c r="B30" s="7" t="n">
        <v>0</v>
      </c>
      <c r="C30" s="8" t="n">
        <f aca="false">ROUND(B30/1000,3)</f>
        <v>0</v>
      </c>
      <c r="D30" s="9" t="n">
        <v>0</v>
      </c>
      <c r="E30" s="8" t="n">
        <f aca="false">ROUND(C30-D30,3)</f>
        <v>0</v>
      </c>
      <c r="F30" s="3" t="s">
        <v>49</v>
      </c>
    </row>
    <row r="31" customFormat="false" ht="15" hidden="false" customHeight="false" outlineLevel="0" collapsed="false">
      <c r="A31" s="10" t="s">
        <v>58</v>
      </c>
      <c r="B31" s="7" t="n">
        <f aca="false">SUM(B22:B30)</f>
        <v>36463023784.44</v>
      </c>
      <c r="C31" s="8" t="n">
        <f aca="false">ROUND(B31/1000,3)</f>
        <v>36463023.784</v>
      </c>
      <c r="D31" s="11" t="n">
        <f aca="false">SUM(D22:D30)</f>
        <v>36431298</v>
      </c>
      <c r="E31" s="8" t="n">
        <f aca="false">ROUND(C31-D31,3)</f>
        <v>31725.784</v>
      </c>
    </row>
    <row r="32" customFormat="false" ht="15" hidden="false" customHeight="false" outlineLevel="0" collapsed="false">
      <c r="A32" s="12" t="s">
        <v>59</v>
      </c>
    </row>
    <row r="34" customFormat="false" ht="15" hidden="false" customHeight="false" outlineLevel="0" collapsed="false">
      <c r="A34" s="6" t="s">
        <v>60</v>
      </c>
    </row>
    <row r="35" customFormat="false" ht="28.35" hidden="false" customHeight="false" outlineLevel="0" collapsed="false">
      <c r="A35" s="1" t="s">
        <v>29</v>
      </c>
      <c r="B35" s="1" t="s">
        <v>30</v>
      </c>
      <c r="C35" s="1" t="s">
        <v>31</v>
      </c>
      <c r="D35" s="1" t="s">
        <v>32</v>
      </c>
      <c r="E35" s="1" t="s">
        <v>33</v>
      </c>
      <c r="F35" s="1" t="s">
        <v>34</v>
      </c>
    </row>
    <row r="36" customFormat="false" ht="15" hidden="false" customHeight="false" outlineLevel="0" collapsed="false">
      <c r="A36" s="0" t="s">
        <v>61</v>
      </c>
      <c r="B36" s="7" t="n">
        <v>23710183000</v>
      </c>
      <c r="C36" s="8" t="n">
        <f aca="false">ROUND(B36/1000,3)</f>
        <v>23710183</v>
      </c>
      <c r="D36" s="9" t="n">
        <v>23710183</v>
      </c>
      <c r="E36" s="8" t="n">
        <f aca="false">ROUND(C36-D36,3)</f>
        <v>0</v>
      </c>
      <c r="F36" s="3" t="s">
        <v>39</v>
      </c>
    </row>
    <row r="37" customFormat="false" ht="15" hidden="false" customHeight="false" outlineLevel="0" collapsed="false">
      <c r="A37" s="0" t="s">
        <v>62</v>
      </c>
      <c r="B37" s="7" t="n">
        <v>28278951732.75</v>
      </c>
      <c r="C37" s="8" t="n">
        <f aca="false">ROUND(B37/1000,3)</f>
        <v>28278951.733</v>
      </c>
      <c r="D37" s="9" t="n">
        <v>28252258</v>
      </c>
      <c r="E37" s="8" t="n">
        <f aca="false">ROUND(C37-D37,3)</f>
        <v>26693.733</v>
      </c>
      <c r="F37" s="3" t="s">
        <v>63</v>
      </c>
    </row>
    <row r="38" customFormat="false" ht="15" hidden="false" customHeight="false" outlineLevel="0" collapsed="false">
      <c r="A38" s="0" t="s">
        <v>64</v>
      </c>
      <c r="B38" s="7" t="n">
        <v>5707549732.75</v>
      </c>
      <c r="C38" s="8" t="n">
        <f aca="false">ROUND(B38/1000,3)</f>
        <v>5707549.733</v>
      </c>
      <c r="D38" s="9" t="n">
        <v>5682056</v>
      </c>
      <c r="E38" s="8" t="n">
        <f aca="false">ROUND(C38-D38,3)</f>
        <v>25493.733</v>
      </c>
      <c r="F38" s="3" t="s">
        <v>49</v>
      </c>
    </row>
    <row r="39" customFormat="false" ht="15" hidden="false" customHeight="false" outlineLevel="0" collapsed="false">
      <c r="A39" s="0" t="s">
        <v>65</v>
      </c>
      <c r="B39" s="7" t="n">
        <v>1139825000</v>
      </c>
      <c r="C39" s="8" t="n">
        <f aca="false">ROUND(B39/1000,3)</f>
        <v>1139825</v>
      </c>
      <c r="D39" s="9" t="n">
        <v>1139825</v>
      </c>
      <c r="E39" s="8" t="n">
        <f aca="false">ROUND(C39-D39,3)</f>
        <v>0</v>
      </c>
      <c r="F39" s="3" t="s">
        <v>49</v>
      </c>
    </row>
    <row r="41" customFormat="false" ht="15" hidden="false" customHeight="false" outlineLevel="0" collapsed="false">
      <c r="A41" s="6" t="s">
        <v>66</v>
      </c>
    </row>
    <row r="42" customFormat="false" ht="28.35" hidden="false" customHeight="false" outlineLevel="0" collapsed="false">
      <c r="A42" s="1" t="s">
        <v>29</v>
      </c>
      <c r="B42" s="1" t="s">
        <v>30</v>
      </c>
      <c r="C42" s="1" t="s">
        <v>31</v>
      </c>
      <c r="D42" s="1" t="s">
        <v>32</v>
      </c>
      <c r="E42" s="1" t="s">
        <v>33</v>
      </c>
      <c r="F42" s="1" t="s">
        <v>34</v>
      </c>
    </row>
    <row r="43" customFormat="false" ht="15" hidden="false" customHeight="false" outlineLevel="0" collapsed="false">
      <c r="A43" s="0" t="s">
        <v>67</v>
      </c>
      <c r="B43" s="7" t="n">
        <v>4167284000</v>
      </c>
      <c r="C43" s="8" t="n">
        <f aca="false">ROUND(B43/1000,3)</f>
        <v>4167284</v>
      </c>
      <c r="D43" s="9" t="n">
        <v>4106084</v>
      </c>
      <c r="E43" s="8" t="n">
        <f aca="false">ROUND(C43-D43,3)</f>
        <v>61200</v>
      </c>
      <c r="F43" s="3" t="s">
        <v>20</v>
      </c>
    </row>
    <row r="44" customFormat="false" ht="15" hidden="false" customHeight="false" outlineLevel="0" collapsed="false">
      <c r="A44" s="0" t="s">
        <v>68</v>
      </c>
      <c r="B44" s="7" t="n">
        <v>32295739784.44</v>
      </c>
      <c r="C44" s="8" t="n">
        <f aca="false">ROUND(B44/1000,3)</f>
        <v>32295739.784</v>
      </c>
      <c r="D44" s="9" t="n">
        <v>32325214</v>
      </c>
      <c r="E44" s="8" t="n">
        <f aca="false">ROUND(C44-D44,3)</f>
        <v>-29474.216</v>
      </c>
      <c r="F44" s="3" t="s">
        <v>20</v>
      </c>
    </row>
    <row r="45" customFormat="false" ht="15" hidden="false" customHeight="false" outlineLevel="0" collapsed="false">
      <c r="A45" s="0" t="s">
        <v>69</v>
      </c>
      <c r="B45" s="7" t="n">
        <v>3604640000</v>
      </c>
      <c r="C45" s="8" t="n">
        <f aca="false">ROUND(B45/1000,3)</f>
        <v>3604640</v>
      </c>
      <c r="D45" s="9" t="n">
        <v>3604640</v>
      </c>
      <c r="E45" s="8" t="n">
        <f aca="false">ROUND(C45-D45,3)</f>
        <v>0</v>
      </c>
      <c r="F45" s="3" t="s">
        <v>20</v>
      </c>
    </row>
    <row r="46" customFormat="false" ht="15" hidden="false" customHeight="false" outlineLevel="0" collapsed="false">
      <c r="A46" s="0" t="s">
        <v>70</v>
      </c>
      <c r="B46" s="7" t="n">
        <v>31046823000</v>
      </c>
      <c r="C46" s="8" t="n">
        <f aca="false">ROUND(B46/1000,3)</f>
        <v>31046823</v>
      </c>
      <c r="D46" s="9" t="n">
        <v>31046823</v>
      </c>
      <c r="E46" s="8" t="n">
        <f aca="false">ROUND(C46-D46,3)</f>
        <v>0</v>
      </c>
      <c r="F46" s="3" t="s">
        <v>20</v>
      </c>
    </row>
    <row r="47" customFormat="false" ht="15" hidden="false" customHeight="false" outlineLevel="0" collapsed="false">
      <c r="A47" s="12" t="s">
        <v>71</v>
      </c>
    </row>
    <row r="49" customFormat="false" ht="15" hidden="false" customHeight="false" outlineLevel="0" collapsed="false">
      <c r="A49" s="6" t="s">
        <v>72</v>
      </c>
    </row>
    <row r="50" customFormat="false" ht="28.35" hidden="false" customHeight="false" outlineLevel="0" collapsed="false">
      <c r="A50" s="1" t="s">
        <v>73</v>
      </c>
      <c r="B50" s="1" t="s">
        <v>74</v>
      </c>
      <c r="C50" s="1" t="s">
        <v>75</v>
      </c>
      <c r="D50" s="1" t="s">
        <v>76</v>
      </c>
      <c r="E50" s="1" t="s">
        <v>77</v>
      </c>
      <c r="F50" s="1" t="s">
        <v>78</v>
      </c>
      <c r="G50" s="1" t="s">
        <v>79</v>
      </c>
      <c r="H50" s="1" t="s">
        <v>80</v>
      </c>
    </row>
    <row r="51" customFormat="false" ht="15" hidden="false" customHeight="false" outlineLevel="0" collapsed="false">
      <c r="A51" s="0" t="s">
        <v>81</v>
      </c>
      <c r="B51" s="0" t="s">
        <v>82</v>
      </c>
      <c r="C51" s="7" t="n">
        <v>617089157.8</v>
      </c>
      <c r="D51" s="7" t="n">
        <v>617089157.8</v>
      </c>
      <c r="E51" s="7" t="n">
        <v>30340643.24</v>
      </c>
      <c r="F51" s="7" t="n">
        <v>647429801.04</v>
      </c>
      <c r="G51" s="7" t="n">
        <f aca="false">ROUND(C51-D51,2)</f>
        <v>0</v>
      </c>
      <c r="H51" s="7" t="n">
        <f aca="false">ROUND(C51+E51-F51,2)</f>
        <v>0</v>
      </c>
    </row>
    <row r="52" customFormat="false" ht="15" hidden="false" customHeight="false" outlineLevel="0" collapsed="false">
      <c r="A52" s="0" t="s">
        <v>81</v>
      </c>
      <c r="B52" s="0" t="s">
        <v>83</v>
      </c>
      <c r="C52" s="7" t="n">
        <v>5263586.44</v>
      </c>
      <c r="D52" s="7" t="n">
        <v>5263586.44</v>
      </c>
      <c r="E52" s="7" t="n">
        <v>-48699.03</v>
      </c>
      <c r="F52" s="7" t="n">
        <v>5214887.41</v>
      </c>
      <c r="G52" s="7" t="n">
        <f aca="false">ROUND(C52-D52,2)</f>
        <v>0</v>
      </c>
      <c r="H52" s="7" t="n">
        <f aca="false">ROUND(C52+E52-F52,2)</f>
        <v>0</v>
      </c>
    </row>
    <row r="53" customFormat="false" ht="15" hidden="false" customHeight="false" outlineLevel="0" collapsed="false">
      <c r="A53" s="0" t="s">
        <v>84</v>
      </c>
      <c r="B53" s="0" t="s">
        <v>82</v>
      </c>
      <c r="C53" s="7" t="n">
        <v>486263823.55</v>
      </c>
      <c r="D53" s="7" t="n">
        <v>486263823.55</v>
      </c>
      <c r="E53" s="7" t="n">
        <v>63785113.8</v>
      </c>
      <c r="F53" s="7" t="n">
        <v>550048937.35</v>
      </c>
      <c r="G53" s="7" t="n">
        <f aca="false">ROUND(C53-D53,2)</f>
        <v>0</v>
      </c>
      <c r="H53" s="7" t="n">
        <f aca="false">ROUND(C53+E53-F53,2)</f>
        <v>0</v>
      </c>
    </row>
    <row r="54" customFormat="false" ht="15" hidden="false" customHeight="false" outlineLevel="0" collapsed="false">
      <c r="A54" s="0" t="s">
        <v>84</v>
      </c>
      <c r="B54" s="0" t="s">
        <v>83</v>
      </c>
      <c r="C54" s="7" t="n">
        <v>4147685.36</v>
      </c>
      <c r="D54" s="7" t="n">
        <v>4147685.36</v>
      </c>
      <c r="E54" s="7" t="n">
        <v>-38374.64</v>
      </c>
      <c r="F54" s="7" t="n">
        <v>4109310.72</v>
      </c>
      <c r="G54" s="7" t="n">
        <f aca="false">ROUND(C54-D54,2)</f>
        <v>0</v>
      </c>
      <c r="H54" s="7" t="n">
        <f aca="false">ROUND(C54+E54-F54,2)</f>
        <v>0</v>
      </c>
    </row>
    <row r="55" customFormat="false" ht="15" hidden="false" customHeight="false" outlineLevel="0" collapsed="false">
      <c r="A55" s="0" t="s">
        <v>85</v>
      </c>
      <c r="B55" s="0" t="s">
        <v>82</v>
      </c>
      <c r="C55" s="7" t="n">
        <v>159464338.85</v>
      </c>
      <c r="D55" s="7" t="n">
        <v>159464338.85</v>
      </c>
      <c r="E55" s="7" t="n">
        <v>4513300.75</v>
      </c>
      <c r="F55" s="7" t="n">
        <v>163977639.6</v>
      </c>
      <c r="G55" s="7" t="n">
        <f aca="false">ROUND(C55-D55,2)</f>
        <v>0</v>
      </c>
      <c r="H55" s="7" t="n">
        <f aca="false">ROUND(C55+E55-F55,2)</f>
        <v>0</v>
      </c>
    </row>
    <row r="56" customFormat="false" ht="15" hidden="false" customHeight="false" outlineLevel="0" collapsed="false">
      <c r="A56" s="0" t="s">
        <v>85</v>
      </c>
      <c r="B56" s="0" t="s">
        <v>83</v>
      </c>
      <c r="C56" s="7" t="n">
        <v>1360183.24</v>
      </c>
      <c r="D56" s="7" t="n">
        <v>1360183.24</v>
      </c>
      <c r="E56" s="7" t="n">
        <v>-12584.5</v>
      </c>
      <c r="F56" s="7" t="n">
        <v>1347598.74</v>
      </c>
      <c r="G56" s="7" t="n">
        <f aca="false">ROUND(C56-D56,2)</f>
        <v>0</v>
      </c>
      <c r="H56" s="7" t="n">
        <f aca="false">ROUND(C56+E56-F56,2)</f>
        <v>0</v>
      </c>
    </row>
    <row r="57" customFormat="false" ht="15" hidden="false" customHeight="false" outlineLevel="0" collapsed="false">
      <c r="A57" s="0" t="s">
        <v>86</v>
      </c>
      <c r="B57" s="0" t="s">
        <v>82</v>
      </c>
      <c r="C57" s="7" t="n">
        <v>555100589.86</v>
      </c>
      <c r="D57" s="7" t="n">
        <v>555100589.86</v>
      </c>
      <c r="E57" s="7" t="n">
        <v>238935277.21</v>
      </c>
      <c r="F57" s="7" t="n">
        <v>794035867.07</v>
      </c>
      <c r="G57" s="7" t="n">
        <f aca="false">ROUND(C57-D57,2)</f>
        <v>0</v>
      </c>
      <c r="H57" s="7" t="n">
        <f aca="false">ROUND(C57+E57-F57,2)</f>
        <v>0</v>
      </c>
    </row>
    <row r="58" customFormat="false" ht="15" hidden="false" customHeight="false" outlineLevel="0" collapsed="false">
      <c r="A58" s="0" t="s">
        <v>86</v>
      </c>
      <c r="B58" s="0" t="s">
        <v>83</v>
      </c>
      <c r="C58" s="7" t="n">
        <v>0</v>
      </c>
      <c r="D58" s="7" t="n">
        <v>0</v>
      </c>
      <c r="E58" s="7" t="n">
        <v>6477607.86</v>
      </c>
      <c r="F58" s="7" t="n">
        <v>6477607.86</v>
      </c>
      <c r="G58" s="7" t="n">
        <f aca="false">ROUND(C58-D58,2)</f>
        <v>0</v>
      </c>
      <c r="H58" s="7" t="n">
        <f aca="false">ROUND(C58+E58-F58,2)</f>
        <v>0</v>
      </c>
    </row>
    <row r="59" customFormat="false" ht="15" hidden="false" customHeight="false" outlineLevel="0" collapsed="false">
      <c r="A59" s="0" t="s">
        <v>87</v>
      </c>
      <c r="B59" s="0" t="s">
        <v>82</v>
      </c>
      <c r="C59" s="7" t="n">
        <v>64406456</v>
      </c>
      <c r="D59" s="7" t="n">
        <v>64406456</v>
      </c>
      <c r="E59" s="7" t="n">
        <v>34742683.15</v>
      </c>
      <c r="F59" s="7" t="n">
        <v>99149139.15</v>
      </c>
      <c r="G59" s="7" t="n">
        <f aca="false">ROUND(C59-D59,2)</f>
        <v>0</v>
      </c>
      <c r="H59" s="7" t="n">
        <f aca="false">ROUND(C59+E59-F59,2)</f>
        <v>0</v>
      </c>
    </row>
    <row r="60" customFormat="false" ht="15" hidden="false" customHeight="false" outlineLevel="0" collapsed="false">
      <c r="A60" s="0" t="s">
        <v>87</v>
      </c>
      <c r="B60" s="0" t="s">
        <v>83</v>
      </c>
      <c r="C60" s="7" t="n">
        <v>549367.86</v>
      </c>
      <c r="D60" s="7" t="n">
        <v>549367.86</v>
      </c>
      <c r="E60" s="7" t="n">
        <v>-5082.79</v>
      </c>
      <c r="F60" s="7" t="n">
        <v>544285.07</v>
      </c>
      <c r="G60" s="7" t="n">
        <f aca="false">ROUND(C60-D60,2)</f>
        <v>0</v>
      </c>
      <c r="H60" s="7" t="n">
        <f aca="false">ROUND(C60+E60-F60,2)</f>
        <v>0</v>
      </c>
    </row>
    <row r="61" customFormat="false" ht="15" hidden="false" customHeight="false" outlineLevel="0" collapsed="false">
      <c r="A61" s="0" t="s">
        <v>88</v>
      </c>
      <c r="B61" s="0" t="s">
        <v>82</v>
      </c>
      <c r="C61" s="7" t="n">
        <v>900000000</v>
      </c>
      <c r="D61" s="7" t="n">
        <v>900000000</v>
      </c>
      <c r="E61" s="7" t="n">
        <v>1446247820.09</v>
      </c>
      <c r="F61" s="7" t="n">
        <v>2346247820.09</v>
      </c>
      <c r="G61" s="7" t="n">
        <f aca="false">ROUND(C61-D61,2)</f>
        <v>0</v>
      </c>
      <c r="H61" s="7" t="n">
        <f aca="false">ROUND(C61+E61-F61,2)</f>
        <v>0</v>
      </c>
    </row>
    <row r="62" customFormat="false" ht="15" hidden="false" customHeight="false" outlineLevel="0" collapsed="false">
      <c r="A62" s="0" t="s">
        <v>89</v>
      </c>
      <c r="B62" s="0" t="s">
        <v>82</v>
      </c>
      <c r="C62" s="7" t="n">
        <v>397180598.75</v>
      </c>
      <c r="D62" s="7" t="n">
        <v>397180598.75</v>
      </c>
      <c r="E62" s="7" t="n">
        <v>65726499.35</v>
      </c>
      <c r="F62" s="7" t="n">
        <v>462907098.1</v>
      </c>
      <c r="G62" s="7" t="n">
        <f aca="false">ROUND(C62-D62,2)</f>
        <v>0</v>
      </c>
      <c r="H62" s="7" t="n">
        <f aca="false">ROUND(C62+E62-F62,2)</f>
        <v>0</v>
      </c>
    </row>
    <row r="63" customFormat="false" ht="15" hidden="false" customHeight="false" outlineLevel="0" collapsed="false">
      <c r="A63" s="0" t="s">
        <v>89</v>
      </c>
      <c r="B63" s="0" t="s">
        <v>83</v>
      </c>
      <c r="C63" s="7" t="n">
        <v>3387832.03</v>
      </c>
      <c r="D63" s="7" t="n">
        <v>3387832.03</v>
      </c>
      <c r="E63" s="7" t="n">
        <v>-31344.44</v>
      </c>
      <c r="F63" s="7" t="n">
        <v>3356487.59</v>
      </c>
      <c r="G63" s="7" t="n">
        <f aca="false">ROUND(C63-D63,2)</f>
        <v>0</v>
      </c>
      <c r="H63" s="7" t="n">
        <f aca="false">ROUND(C63+E63-F63,2)</f>
        <v>0</v>
      </c>
    </row>
    <row r="64" customFormat="false" ht="15" hidden="false" customHeight="false" outlineLevel="0" collapsed="false">
      <c r="A64" s="0" t="s">
        <v>90</v>
      </c>
      <c r="B64" s="0" t="s">
        <v>82</v>
      </c>
      <c r="C64" s="7" t="n">
        <v>2350000000</v>
      </c>
      <c r="D64" s="7" t="n">
        <v>2350000000</v>
      </c>
      <c r="E64" s="7" t="n">
        <v>2004384892.76</v>
      </c>
      <c r="F64" s="7" t="n">
        <v>4354384892.76</v>
      </c>
      <c r="G64" s="7" t="n">
        <f aca="false">ROUND(C64-D64,2)</f>
        <v>0</v>
      </c>
      <c r="H64" s="7" t="n">
        <f aca="false">ROUND(C64+E64-F64,2)</f>
        <v>0</v>
      </c>
    </row>
    <row r="65" customFormat="false" ht="15" hidden="false" customHeight="false" outlineLevel="0" collapsed="false">
      <c r="A65" s="0" t="s">
        <v>90</v>
      </c>
      <c r="B65" s="0" t="s">
        <v>83</v>
      </c>
      <c r="C65" s="7" t="n">
        <v>0</v>
      </c>
      <c r="D65" s="7" t="n">
        <v>0</v>
      </c>
      <c r="E65" s="7" t="n">
        <v>5958462.72</v>
      </c>
      <c r="F65" s="7" t="n">
        <v>5958462.72</v>
      </c>
      <c r="G65" s="7" t="n">
        <f aca="false">ROUND(C65-D65,2)</f>
        <v>0</v>
      </c>
      <c r="H65" s="7" t="n">
        <f aca="false">ROUND(C65+E65-F65,2)</f>
        <v>0</v>
      </c>
    </row>
    <row r="66" customFormat="false" ht="15" hidden="false" customHeight="false" outlineLevel="0" collapsed="false">
      <c r="A66" s="0" t="s">
        <v>91</v>
      </c>
      <c r="B66" s="0" t="s">
        <v>82</v>
      </c>
      <c r="C66" s="7" t="n">
        <v>64119251.05</v>
      </c>
      <c r="D66" s="7" t="n">
        <v>64119251.05</v>
      </c>
      <c r="E66" s="7" t="n">
        <v>130311772.8</v>
      </c>
      <c r="F66" s="7" t="n">
        <v>194431023.85</v>
      </c>
      <c r="G66" s="7" t="n">
        <f aca="false">ROUND(C66-D66,2)</f>
        <v>0</v>
      </c>
      <c r="H66" s="7" t="n">
        <f aca="false">ROUND(C66+E66-F66,2)</f>
        <v>0</v>
      </c>
    </row>
    <row r="67" customFormat="false" ht="15" hidden="false" customHeight="false" outlineLevel="0" collapsed="false">
      <c r="A67" s="0" t="s">
        <v>92</v>
      </c>
      <c r="B67" s="0" t="s">
        <v>82</v>
      </c>
      <c r="C67" s="7" t="n">
        <v>144974898.67</v>
      </c>
      <c r="D67" s="7" t="n">
        <v>144974898.67</v>
      </c>
      <c r="E67" s="7" t="n">
        <v>5660319.75</v>
      </c>
      <c r="F67" s="7" t="n">
        <v>150635218.42</v>
      </c>
      <c r="G67" s="7" t="n">
        <f aca="false">ROUND(C67-D67,2)</f>
        <v>0</v>
      </c>
      <c r="H67" s="7" t="n">
        <f aca="false">ROUND(C67+E67-F67,2)</f>
        <v>0</v>
      </c>
    </row>
    <row r="68" customFormat="false" ht="15" hidden="false" customHeight="false" outlineLevel="0" collapsed="false">
      <c r="A68" s="0" t="s">
        <v>92</v>
      </c>
      <c r="B68" s="0" t="s">
        <v>83</v>
      </c>
      <c r="C68" s="7" t="n">
        <v>1236592.64</v>
      </c>
      <c r="D68" s="7" t="n">
        <v>1236592.64</v>
      </c>
      <c r="E68" s="7" t="n">
        <v>-11441.03</v>
      </c>
      <c r="F68" s="7" t="n">
        <v>1225151.61</v>
      </c>
      <c r="G68" s="7" t="n">
        <f aca="false">ROUND(C68-D68,2)</f>
        <v>0</v>
      </c>
      <c r="H68" s="7" t="n">
        <f aca="false">ROUND(C68+E68-F68,2)</f>
        <v>0</v>
      </c>
    </row>
    <row r="69" customFormat="false" ht="15" hidden="false" customHeight="false" outlineLevel="0" collapsed="false">
      <c r="A69" s="0" t="s">
        <v>93</v>
      </c>
      <c r="B69" s="0" t="s">
        <v>82</v>
      </c>
      <c r="C69" s="7" t="n">
        <v>1950000000</v>
      </c>
      <c r="D69" s="7" t="n">
        <v>1950000000</v>
      </c>
      <c r="E69" s="7" t="n">
        <v>211797132.13</v>
      </c>
      <c r="F69" s="7" t="n">
        <v>2161797132.13</v>
      </c>
      <c r="G69" s="7" t="n">
        <f aca="false">ROUND(C69-D69,2)</f>
        <v>0</v>
      </c>
      <c r="H69" s="7" t="n">
        <f aca="false">ROUND(C69+E69-F69,2)</f>
        <v>0</v>
      </c>
    </row>
    <row r="70" customFormat="false" ht="15" hidden="false" customHeight="false" outlineLevel="0" collapsed="false">
      <c r="A70" s="0" t="s">
        <v>93</v>
      </c>
      <c r="B70" s="0" t="s">
        <v>83</v>
      </c>
      <c r="C70" s="7" t="n">
        <v>8030286.94</v>
      </c>
      <c r="D70" s="7" t="n">
        <v>8030286.94</v>
      </c>
      <c r="E70" s="7" t="n">
        <v>-2708792.61</v>
      </c>
      <c r="F70" s="7" t="n">
        <v>5321494.33</v>
      </c>
      <c r="G70" s="7" t="n">
        <f aca="false">ROUND(C70-D70,2)</f>
        <v>0</v>
      </c>
      <c r="H70" s="7" t="n">
        <f aca="false">ROUND(C70+E70-F70,2)</f>
        <v>0</v>
      </c>
    </row>
    <row r="71" customFormat="false" ht="15" hidden="false" customHeight="false" outlineLevel="0" collapsed="false">
      <c r="A71" s="0" t="s">
        <v>94</v>
      </c>
      <c r="B71" s="0" t="s">
        <v>82</v>
      </c>
      <c r="C71" s="7" t="n">
        <v>485959724.19</v>
      </c>
      <c r="D71" s="7" t="n">
        <v>485959724.19</v>
      </c>
      <c r="E71" s="7" t="n">
        <v>18228551.41</v>
      </c>
      <c r="F71" s="7" t="n">
        <v>504188275.6</v>
      </c>
      <c r="G71" s="7" t="n">
        <f aca="false">ROUND(C71-D71,2)</f>
        <v>0</v>
      </c>
      <c r="H71" s="7" t="n">
        <f aca="false">ROUND(C71+E71-F71,2)</f>
        <v>0</v>
      </c>
    </row>
    <row r="72" customFormat="false" ht="15" hidden="false" customHeight="false" outlineLevel="0" collapsed="false">
      <c r="A72" s="0" t="s">
        <v>94</v>
      </c>
      <c r="B72" s="0" t="s">
        <v>83</v>
      </c>
      <c r="C72" s="7" t="n">
        <v>4145091.49</v>
      </c>
      <c r="D72" s="7" t="n">
        <v>4145091.49</v>
      </c>
      <c r="E72" s="7" t="n">
        <v>-38350.65</v>
      </c>
      <c r="F72" s="7" t="n">
        <v>4106740.84</v>
      </c>
      <c r="G72" s="7" t="n">
        <f aca="false">ROUND(C72-D72,2)</f>
        <v>0</v>
      </c>
      <c r="H72" s="7" t="n">
        <f aca="false">ROUND(C72+E72-F72,2)</f>
        <v>0</v>
      </c>
    </row>
    <row r="73" customFormat="false" ht="15" hidden="false" customHeight="false" outlineLevel="0" collapsed="false">
      <c r="A73" s="0" t="s">
        <v>95</v>
      </c>
      <c r="B73" s="0" t="s">
        <v>82</v>
      </c>
      <c r="C73" s="7" t="n">
        <v>569771000</v>
      </c>
      <c r="D73" s="7" t="n">
        <v>569771000</v>
      </c>
      <c r="E73" s="7" t="n">
        <v>1115230006.14</v>
      </c>
      <c r="F73" s="7" t="n">
        <v>1685001006.14</v>
      </c>
      <c r="G73" s="7" t="n">
        <f aca="false">ROUND(C73-D73,2)</f>
        <v>0</v>
      </c>
      <c r="H73" s="7" t="n">
        <f aca="false">ROUND(C73+E73-F73,2)</f>
        <v>0</v>
      </c>
    </row>
    <row r="74" customFormat="false" ht="15" hidden="false" customHeight="false" outlineLevel="0" collapsed="false">
      <c r="A74" s="0" t="s">
        <v>96</v>
      </c>
      <c r="B74" s="0" t="s">
        <v>82</v>
      </c>
      <c r="C74" s="7" t="n">
        <v>68118257.03</v>
      </c>
      <c r="D74" s="7" t="n">
        <v>68118257.03</v>
      </c>
      <c r="E74" s="7" t="n">
        <v>1495249.14</v>
      </c>
      <c r="F74" s="7" t="n">
        <v>69613506.17</v>
      </c>
      <c r="G74" s="7" t="n">
        <f aca="false">ROUND(C74-D74,2)</f>
        <v>0</v>
      </c>
      <c r="H74" s="7" t="n">
        <f aca="false">ROUND(C74+E74-F74,2)</f>
        <v>0</v>
      </c>
    </row>
    <row r="75" customFormat="false" ht="15" hidden="false" customHeight="false" outlineLevel="0" collapsed="false">
      <c r="A75" s="0" t="s">
        <v>96</v>
      </c>
      <c r="B75" s="0" t="s">
        <v>83</v>
      </c>
      <c r="C75" s="7" t="n">
        <v>581028.41</v>
      </c>
      <c r="D75" s="7" t="n">
        <v>581028.41</v>
      </c>
      <c r="E75" s="7" t="n">
        <v>-5375.71</v>
      </c>
      <c r="F75" s="7" t="n">
        <v>575652.7</v>
      </c>
      <c r="G75" s="7" t="n">
        <f aca="false">ROUND(C75-D75,2)</f>
        <v>0</v>
      </c>
      <c r="H75" s="7" t="n">
        <f aca="false">ROUND(C75+E75-F75,2)</f>
        <v>0</v>
      </c>
    </row>
    <row r="76" customFormat="false" ht="15" hidden="false" customHeight="false" outlineLevel="0" collapsed="false">
      <c r="A76" s="0" t="s">
        <v>97</v>
      </c>
      <c r="B76" s="0" t="s">
        <v>82</v>
      </c>
      <c r="C76" s="7" t="n">
        <v>50486456.79</v>
      </c>
      <c r="D76" s="7" t="n">
        <v>50486456.79</v>
      </c>
      <c r="E76" s="7" t="n">
        <v>128041445.47</v>
      </c>
      <c r="F76" s="7" t="n">
        <v>178527902.26</v>
      </c>
      <c r="G76" s="7" t="n">
        <f aca="false">ROUND(C76-D76,2)</f>
        <v>0</v>
      </c>
      <c r="H76" s="7" t="n">
        <f aca="false">ROUND(C76+E76-F76,2)</f>
        <v>0</v>
      </c>
    </row>
    <row r="77" customFormat="false" ht="15" hidden="false" customHeight="false" outlineLevel="0" collapsed="false">
      <c r="A77" s="0" t="s">
        <v>97</v>
      </c>
      <c r="B77" s="0" t="s">
        <v>83</v>
      </c>
      <c r="C77" s="7" t="n">
        <v>0</v>
      </c>
      <c r="D77" s="7" t="n">
        <v>0</v>
      </c>
      <c r="E77" s="7" t="n">
        <v>589078.94</v>
      </c>
      <c r="F77" s="7" t="n">
        <v>589078.94</v>
      </c>
      <c r="G77" s="7" t="n">
        <f aca="false">ROUND(C77-D77,2)</f>
        <v>0</v>
      </c>
      <c r="H77" s="7" t="n">
        <f aca="false">ROUND(C77+E77-F77,2)</f>
        <v>0</v>
      </c>
    </row>
    <row r="78" customFormat="false" ht="15" hidden="false" customHeight="false" outlineLevel="0" collapsed="false">
      <c r="A78" s="0" t="s">
        <v>98</v>
      </c>
      <c r="B78" s="0" t="s">
        <v>82</v>
      </c>
      <c r="C78" s="7" t="n">
        <v>663857850.82</v>
      </c>
      <c r="D78" s="7" t="n">
        <v>663857850.82</v>
      </c>
      <c r="E78" s="7" t="n">
        <v>21032984.9</v>
      </c>
      <c r="F78" s="7" t="n">
        <v>684890835.72</v>
      </c>
      <c r="G78" s="7" t="n">
        <f aca="false">ROUND(C78-D78,2)</f>
        <v>0</v>
      </c>
      <c r="H78" s="7" t="n">
        <f aca="false">ROUND(C78+E78-F78,2)</f>
        <v>0</v>
      </c>
    </row>
    <row r="79" customFormat="false" ht="15" hidden="false" customHeight="false" outlineLevel="0" collapsed="false">
      <c r="A79" s="0" t="s">
        <v>98</v>
      </c>
      <c r="B79" s="0" t="s">
        <v>83</v>
      </c>
      <c r="C79" s="7" t="n">
        <v>5662509.44</v>
      </c>
      <c r="D79" s="7" t="n">
        <v>5662509.44</v>
      </c>
      <c r="E79" s="7" t="n">
        <v>-52389.89</v>
      </c>
      <c r="F79" s="7" t="n">
        <v>5610119.55</v>
      </c>
      <c r="G79" s="7" t="n">
        <f aca="false">ROUND(C79-D79,2)</f>
        <v>0</v>
      </c>
      <c r="H79" s="7" t="n">
        <f aca="false">ROUND(C79+E79-F79,2)</f>
        <v>0</v>
      </c>
    </row>
    <row r="80" customFormat="false" ht="15" hidden="false" customHeight="false" outlineLevel="0" collapsed="false">
      <c r="A80" s="0" t="s">
        <v>99</v>
      </c>
      <c r="B80" s="0" t="s">
        <v>82</v>
      </c>
      <c r="C80" s="7" t="n">
        <v>176780114.27</v>
      </c>
      <c r="D80" s="7" t="n">
        <v>176780114.27</v>
      </c>
      <c r="E80" s="7" t="n">
        <v>7375969.69</v>
      </c>
      <c r="F80" s="7" t="n">
        <v>184156083.96</v>
      </c>
      <c r="G80" s="7" t="n">
        <f aca="false">ROUND(C80-D80,2)</f>
        <v>0</v>
      </c>
      <c r="H80" s="7" t="n">
        <f aca="false">ROUND(C80+E80-F80,2)</f>
        <v>0</v>
      </c>
    </row>
    <row r="81" customFormat="false" ht="15" hidden="false" customHeight="false" outlineLevel="0" collapsed="false">
      <c r="A81" s="0" t="s">
        <v>99</v>
      </c>
      <c r="B81" s="0" t="s">
        <v>83</v>
      </c>
      <c r="C81" s="7" t="n">
        <v>1507881.65</v>
      </c>
      <c r="D81" s="7" t="n">
        <v>1507881.65</v>
      </c>
      <c r="E81" s="7" t="n">
        <v>-13951.02</v>
      </c>
      <c r="F81" s="7" t="n">
        <v>1493930.63</v>
      </c>
      <c r="G81" s="7" t="n">
        <f aca="false">ROUND(C81-D81,2)</f>
        <v>0</v>
      </c>
      <c r="H81" s="7" t="n">
        <f aca="false">ROUND(C81+E81-F81,2)</f>
        <v>0</v>
      </c>
    </row>
    <row r="82" customFormat="false" ht="15" hidden="false" customHeight="false" outlineLevel="0" collapsed="false">
      <c r="A82" s="0" t="s">
        <v>100</v>
      </c>
      <c r="B82" s="0" t="s">
        <v>82</v>
      </c>
      <c r="C82" s="7" t="n">
        <v>73296890.28</v>
      </c>
      <c r="D82" s="7" t="n">
        <v>73296890.28</v>
      </c>
      <c r="E82" s="7" t="n">
        <v>-222544.93</v>
      </c>
      <c r="F82" s="7" t="n">
        <v>73074345.35</v>
      </c>
      <c r="G82" s="7" t="n">
        <f aca="false">ROUND(C82-D82,2)</f>
        <v>0</v>
      </c>
      <c r="H82" s="7" t="n">
        <f aca="false">ROUND(C82+E82-F82,2)</f>
        <v>0</v>
      </c>
    </row>
    <row r="83" customFormat="false" ht="15" hidden="false" customHeight="false" outlineLevel="0" collapsed="false">
      <c r="A83" s="0" t="s">
        <v>100</v>
      </c>
      <c r="B83" s="0" t="s">
        <v>83</v>
      </c>
      <c r="C83" s="7" t="n">
        <v>625200.61</v>
      </c>
      <c r="D83" s="7" t="n">
        <v>625200.61</v>
      </c>
      <c r="E83" s="7" t="n">
        <v>-5784.39</v>
      </c>
      <c r="F83" s="7" t="n">
        <v>619416.22</v>
      </c>
      <c r="G83" s="7" t="n">
        <f aca="false">ROUND(C83-D83,2)</f>
        <v>0</v>
      </c>
      <c r="H83" s="7" t="n">
        <f aca="false">ROUND(C83+E83-F83,2)</f>
        <v>0</v>
      </c>
    </row>
    <row r="84" customFormat="false" ht="15" hidden="false" customHeight="false" outlineLevel="0" collapsed="false">
      <c r="A84" s="0" t="s">
        <v>101</v>
      </c>
      <c r="B84" s="0" t="s">
        <v>82</v>
      </c>
      <c r="C84" s="7" t="n">
        <v>619056859.55</v>
      </c>
      <c r="D84" s="7" t="n">
        <v>619056859.55</v>
      </c>
      <c r="E84" s="7" t="n">
        <v>11205959.75</v>
      </c>
      <c r="F84" s="7" t="n">
        <v>630262819.3</v>
      </c>
      <c r="G84" s="7" t="n">
        <f aca="false">ROUND(C84-D84,2)</f>
        <v>0</v>
      </c>
      <c r="H84" s="7" t="n">
        <f aca="false">ROUND(C84+E84-F84,2)</f>
        <v>0</v>
      </c>
    </row>
    <row r="85" customFormat="false" ht="15" hidden="false" customHeight="false" outlineLevel="0" collapsed="false">
      <c r="A85" s="0" t="s">
        <v>101</v>
      </c>
      <c r="B85" s="0" t="s">
        <v>83</v>
      </c>
      <c r="C85" s="7" t="n">
        <v>5280370.34</v>
      </c>
      <c r="D85" s="7" t="n">
        <v>5280370.34</v>
      </c>
      <c r="E85" s="7" t="n">
        <v>-48854.31</v>
      </c>
      <c r="F85" s="7" t="n">
        <v>5231516.03</v>
      </c>
      <c r="G85" s="7" t="n">
        <f aca="false">ROUND(C85-D85,2)</f>
        <v>0</v>
      </c>
      <c r="H85" s="7" t="n">
        <f aca="false">ROUND(C85+E85-F85,2)</f>
        <v>0</v>
      </c>
    </row>
    <row r="86" customFormat="false" ht="15" hidden="false" customHeight="false" outlineLevel="0" collapsed="false">
      <c r="A86" s="0" t="s">
        <v>102</v>
      </c>
      <c r="B86" s="0" t="s">
        <v>82</v>
      </c>
      <c r="C86" s="7" t="n">
        <v>82598753.11</v>
      </c>
      <c r="D86" s="7" t="n">
        <v>82598753.11</v>
      </c>
      <c r="E86" s="7" t="n">
        <v>1901470.15</v>
      </c>
      <c r="F86" s="7" t="n">
        <v>84500223.26</v>
      </c>
      <c r="G86" s="7" t="n">
        <f aca="false">ROUND(C86-D86,2)</f>
        <v>0</v>
      </c>
      <c r="H86" s="7" t="n">
        <f aca="false">ROUND(C86+E86-F86,2)</f>
        <v>0</v>
      </c>
    </row>
    <row r="87" customFormat="false" ht="15" hidden="false" customHeight="false" outlineLevel="0" collapsed="false">
      <c r="A87" s="0" t="s">
        <v>102</v>
      </c>
      <c r="B87" s="0" t="s">
        <v>83</v>
      </c>
      <c r="C87" s="7" t="n">
        <v>704542.73</v>
      </c>
      <c r="D87" s="7" t="n">
        <v>704542.73</v>
      </c>
      <c r="E87" s="7" t="n">
        <v>-6518.48</v>
      </c>
      <c r="F87" s="7" t="n">
        <v>698024.25</v>
      </c>
      <c r="G87" s="7" t="n">
        <f aca="false">ROUND(C87-D87,2)</f>
        <v>0</v>
      </c>
      <c r="H87" s="7" t="n">
        <f aca="false">ROUND(C87+E87-F87,2)</f>
        <v>0</v>
      </c>
    </row>
    <row r="88" customFormat="false" ht="15" hidden="false" customHeight="false" outlineLevel="0" collapsed="false">
      <c r="A88" s="0" t="s">
        <v>103</v>
      </c>
      <c r="B88" s="0" t="s">
        <v>82</v>
      </c>
      <c r="C88" s="7" t="n">
        <v>157684463.17</v>
      </c>
      <c r="D88" s="7" t="n">
        <v>157684463.17</v>
      </c>
      <c r="E88" s="7" t="n">
        <v>3888282.67</v>
      </c>
      <c r="F88" s="7" t="n">
        <v>161572745.84</v>
      </c>
      <c r="G88" s="7" t="n">
        <f aca="false">ROUND(C88-D88,2)</f>
        <v>0</v>
      </c>
      <c r="H88" s="7" t="n">
        <f aca="false">ROUND(C88+E88-F88,2)</f>
        <v>0</v>
      </c>
    </row>
    <row r="89" customFormat="false" ht="15" hidden="false" customHeight="false" outlineLevel="0" collapsed="false">
      <c r="A89" s="0" t="s">
        <v>103</v>
      </c>
      <c r="B89" s="0" t="s">
        <v>83</v>
      </c>
      <c r="C89" s="7" t="n">
        <v>1345001.44</v>
      </c>
      <c r="D89" s="7" t="n">
        <v>1345001.44</v>
      </c>
      <c r="E89" s="7" t="n">
        <v>-12444.04</v>
      </c>
      <c r="F89" s="7" t="n">
        <v>1332557.4</v>
      </c>
      <c r="G89" s="7" t="n">
        <f aca="false">ROUND(C89-D89,2)</f>
        <v>0</v>
      </c>
      <c r="H89" s="7" t="n">
        <f aca="false">ROUND(C89+E89-F89,2)</f>
        <v>0</v>
      </c>
    </row>
    <row r="90" customFormat="false" ht="15" hidden="false" customHeight="false" outlineLevel="0" collapsed="false">
      <c r="A90" s="0" t="s">
        <v>104</v>
      </c>
      <c r="B90" s="0" t="s">
        <v>82</v>
      </c>
      <c r="C90" s="7" t="n">
        <v>565123943.34</v>
      </c>
      <c r="D90" s="7" t="n">
        <v>565123943.34</v>
      </c>
      <c r="E90" s="7" t="n">
        <v>1553642.55</v>
      </c>
      <c r="F90" s="7" t="n">
        <v>566677585.89</v>
      </c>
      <c r="G90" s="7" t="n">
        <f aca="false">ROUND(C90-D90,2)</f>
        <v>0</v>
      </c>
      <c r="H90" s="7" t="n">
        <f aca="false">ROUND(C90+E90-F90,2)</f>
        <v>0</v>
      </c>
    </row>
    <row r="91" customFormat="false" ht="15" hidden="false" customHeight="false" outlineLevel="0" collapsed="false">
      <c r="A91" s="0" t="s">
        <v>104</v>
      </c>
      <c r="B91" s="0" t="s">
        <v>83</v>
      </c>
      <c r="C91" s="7" t="n">
        <v>4820338.67</v>
      </c>
      <c r="D91" s="7" t="n">
        <v>4820338.67</v>
      </c>
      <c r="E91" s="7" t="n">
        <v>-44598.08</v>
      </c>
      <c r="F91" s="7" t="n">
        <v>4775740.59</v>
      </c>
      <c r="G91" s="7" t="n">
        <f aca="false">ROUND(C91-D91,2)</f>
        <v>0</v>
      </c>
      <c r="H91" s="7" t="n">
        <f aca="false">ROUND(C91+E91-F91,2)</f>
        <v>0</v>
      </c>
    </row>
    <row r="92" customFormat="false" ht="15" hidden="false" customHeight="false" outlineLevel="0" collapsed="false">
      <c r="A92" s="0" t="s">
        <v>105</v>
      </c>
      <c r="B92" s="0" t="s">
        <v>82</v>
      </c>
      <c r="C92" s="7" t="n">
        <v>206385081.55</v>
      </c>
      <c r="D92" s="7" t="n">
        <v>206385081.55</v>
      </c>
      <c r="E92" s="7" t="n">
        <v>8750627.49</v>
      </c>
      <c r="F92" s="7" t="n">
        <v>215135709.04</v>
      </c>
      <c r="G92" s="7" t="n">
        <f aca="false">ROUND(C92-D92,2)</f>
        <v>0</v>
      </c>
      <c r="H92" s="7" t="n">
        <f aca="false">ROUND(C92+E92-F92,2)</f>
        <v>0</v>
      </c>
    </row>
    <row r="93" customFormat="false" ht="15" hidden="false" customHeight="false" outlineLevel="0" collapsed="false">
      <c r="A93" s="0" t="s">
        <v>105</v>
      </c>
      <c r="B93" s="0" t="s">
        <v>83</v>
      </c>
      <c r="C93" s="7" t="n">
        <v>1760403.18</v>
      </c>
      <c r="D93" s="7" t="n">
        <v>1760403.18</v>
      </c>
      <c r="E93" s="7" t="n">
        <v>-16287.36</v>
      </c>
      <c r="F93" s="7" t="n">
        <v>1744115.82</v>
      </c>
      <c r="G93" s="7" t="n">
        <f aca="false">ROUND(C93-D93,2)</f>
        <v>0</v>
      </c>
      <c r="H93" s="7" t="n">
        <f aca="false">ROUND(C93+E93-F93,2)</f>
        <v>0</v>
      </c>
    </row>
    <row r="94" customFormat="false" ht="15" hidden="false" customHeight="false" outlineLevel="0" collapsed="false">
      <c r="A94" s="0" t="s">
        <v>106</v>
      </c>
      <c r="B94" s="0" t="s">
        <v>82</v>
      </c>
      <c r="C94" s="7" t="n">
        <v>613833505.81</v>
      </c>
      <c r="D94" s="7" t="n">
        <v>613833505.81</v>
      </c>
      <c r="E94" s="7" t="n">
        <v>21935789.67</v>
      </c>
      <c r="F94" s="7" t="n">
        <v>635769295.48</v>
      </c>
      <c r="G94" s="7" t="n">
        <f aca="false">ROUND(C94-D94,2)</f>
        <v>0</v>
      </c>
      <c r="H94" s="7" t="n">
        <f aca="false">ROUND(C94+E94-F94,2)</f>
        <v>0</v>
      </c>
    </row>
    <row r="95" customFormat="false" ht="15" hidden="false" customHeight="false" outlineLevel="0" collapsed="false">
      <c r="A95" s="0" t="s">
        <v>106</v>
      </c>
      <c r="B95" s="0" t="s">
        <v>83</v>
      </c>
      <c r="C95" s="7" t="n">
        <v>5235816.7</v>
      </c>
      <c r="D95" s="7" t="n">
        <v>5235816.7</v>
      </c>
      <c r="E95" s="7" t="n">
        <v>-48442.1</v>
      </c>
      <c r="F95" s="7" t="n">
        <v>5187374.6</v>
      </c>
      <c r="G95" s="7" t="n">
        <f aca="false">ROUND(C95-D95,2)</f>
        <v>0</v>
      </c>
      <c r="H95" s="7" t="n">
        <f aca="false">ROUND(C95+E95-F95,2)</f>
        <v>0</v>
      </c>
    </row>
    <row r="96" customFormat="false" ht="15" hidden="false" customHeight="false" outlineLevel="0" collapsed="false">
      <c r="A96" s="0" t="s">
        <v>107</v>
      </c>
      <c r="B96" s="0" t="s">
        <v>82</v>
      </c>
      <c r="C96" s="7" t="n">
        <v>139545830.65</v>
      </c>
      <c r="D96" s="7" t="n">
        <v>139545830.65</v>
      </c>
      <c r="E96" s="7" t="n">
        <v>5849091.83</v>
      </c>
      <c r="F96" s="7" t="n">
        <v>145394922.48</v>
      </c>
      <c r="G96" s="7" t="n">
        <f aca="false">ROUND(C96-D96,2)</f>
        <v>0</v>
      </c>
      <c r="H96" s="7" t="n">
        <f aca="false">ROUND(C96+E96-F96,2)</f>
        <v>0</v>
      </c>
    </row>
    <row r="97" customFormat="false" ht="15" hidden="false" customHeight="false" outlineLevel="0" collapsed="false">
      <c r="A97" s="0" t="s">
        <v>107</v>
      </c>
      <c r="B97" s="0" t="s">
        <v>83</v>
      </c>
      <c r="C97" s="7" t="n">
        <v>1190284.31</v>
      </c>
      <c r="D97" s="7" t="n">
        <v>1190284.31</v>
      </c>
      <c r="E97" s="7" t="n">
        <v>-11012.58</v>
      </c>
      <c r="F97" s="7" t="n">
        <v>1179271.73</v>
      </c>
      <c r="G97" s="7" t="n">
        <f aca="false">ROUND(C97-D97,2)</f>
        <v>0</v>
      </c>
      <c r="H97" s="7" t="n">
        <f aca="false">ROUND(C97+E97-F97,2)</f>
        <v>0</v>
      </c>
    </row>
    <row r="98" customFormat="false" ht="15" hidden="false" customHeight="false" outlineLevel="0" collapsed="false">
      <c r="A98" s="0" t="s">
        <v>108</v>
      </c>
      <c r="B98" s="0" t="s">
        <v>82</v>
      </c>
      <c r="C98" s="7" t="n">
        <v>710975363.69</v>
      </c>
      <c r="D98" s="7" t="n">
        <v>710975363.69</v>
      </c>
      <c r="E98" s="7" t="n">
        <v>31634608.1</v>
      </c>
      <c r="F98" s="7" t="n">
        <v>742609971.79</v>
      </c>
      <c r="G98" s="7" t="n">
        <f aca="false">ROUND(C98-D98,2)</f>
        <v>0</v>
      </c>
      <c r="H98" s="7" t="n">
        <f aca="false">ROUND(C98+E98-F98,2)</f>
        <v>0</v>
      </c>
    </row>
    <row r="99" customFormat="false" ht="15" hidden="false" customHeight="false" outlineLevel="0" collapsed="false">
      <c r="A99" s="0" t="s">
        <v>108</v>
      </c>
      <c r="B99" s="0" t="s">
        <v>83</v>
      </c>
      <c r="C99" s="7" t="n">
        <v>6064407.77</v>
      </c>
      <c r="D99" s="7" t="n">
        <v>6064407.77</v>
      </c>
      <c r="E99" s="7" t="n">
        <v>-56108.28</v>
      </c>
      <c r="F99" s="7" t="n">
        <v>6008299.49</v>
      </c>
      <c r="G99" s="7" t="n">
        <f aca="false">ROUND(C99-D99,2)</f>
        <v>0</v>
      </c>
      <c r="H99" s="7" t="n">
        <f aca="false">ROUND(C99+E99-F99,2)</f>
        <v>0</v>
      </c>
    </row>
    <row r="100" customFormat="false" ht="15" hidden="false" customHeight="false" outlineLevel="0" collapsed="false">
      <c r="A100" s="0" t="s">
        <v>109</v>
      </c>
      <c r="B100" s="0" t="s">
        <v>82</v>
      </c>
      <c r="C100" s="7" t="n">
        <v>9700000000</v>
      </c>
      <c r="D100" s="7" t="n">
        <v>9700000000</v>
      </c>
      <c r="E100" s="7" t="n">
        <v>1710886881.63</v>
      </c>
      <c r="F100" s="7" t="n">
        <v>11410886881.63</v>
      </c>
      <c r="G100" s="7" t="n">
        <f aca="false">ROUND(C100-D100,2)</f>
        <v>0</v>
      </c>
      <c r="H100" s="7" t="n">
        <f aca="false">ROUND(C100+E100-F100,2)</f>
        <v>0</v>
      </c>
    </row>
    <row r="101" customFormat="false" ht="15" hidden="false" customHeight="false" outlineLevel="0" collapsed="false">
      <c r="A101" s="0" t="s">
        <v>109</v>
      </c>
      <c r="B101" s="0" t="s">
        <v>83</v>
      </c>
      <c r="C101" s="7" t="n">
        <v>128647713.06</v>
      </c>
      <c r="D101" s="7" t="n">
        <v>128647713.06</v>
      </c>
      <c r="E101" s="7" t="n">
        <v>-43395670.11</v>
      </c>
      <c r="F101" s="7" t="n">
        <v>85252042.95</v>
      </c>
      <c r="G101" s="7" t="n">
        <f aca="false">ROUND(C101-D101,2)</f>
        <v>0</v>
      </c>
      <c r="H101" s="7" t="n">
        <f aca="false">ROUND(C101+E101-F101,2)</f>
        <v>0</v>
      </c>
    </row>
    <row r="102" customFormat="false" ht="15" hidden="false" customHeight="false" outlineLevel="0" collapsed="false">
      <c r="A102" s="0" t="s">
        <v>109</v>
      </c>
      <c r="B102" s="0" t="s">
        <v>110</v>
      </c>
      <c r="C102" s="7" t="n">
        <v>3113419000</v>
      </c>
      <c r="D102" s="7" t="n">
        <v>3113419000</v>
      </c>
      <c r="E102" s="7" t="n">
        <v>-1572000</v>
      </c>
      <c r="F102" s="7" t="n">
        <v>3111847000</v>
      </c>
      <c r="G102" s="7" t="n">
        <f aca="false">ROUND(C102-D102,2)</f>
        <v>0</v>
      </c>
      <c r="H102" s="7" t="n">
        <f aca="false">ROUND(C102+E102-F102,2)</f>
        <v>0</v>
      </c>
    </row>
    <row r="103" customFormat="false" ht="15" hidden="false" customHeight="false" outlineLevel="0" collapsed="false">
      <c r="A103" s="0" t="s">
        <v>109</v>
      </c>
      <c r="B103" s="0" t="s">
        <v>111</v>
      </c>
      <c r="C103" s="7" t="n">
        <v>4990315000</v>
      </c>
      <c r="D103" s="7" t="n">
        <v>4990315000</v>
      </c>
      <c r="E103" s="7" t="n">
        <v>-1878060000</v>
      </c>
      <c r="F103" s="7" t="n">
        <v>3112255000</v>
      </c>
      <c r="G103" s="7" t="n">
        <f aca="false">ROUND(C103-D103,2)</f>
        <v>0</v>
      </c>
      <c r="H103" s="7" t="n">
        <f aca="false">ROUND(C103+E103-F103,2)</f>
        <v>0</v>
      </c>
    </row>
    <row r="104" customFormat="false" ht="15" hidden="false" customHeight="false" outlineLevel="0" collapsed="false">
      <c r="A104" s="0" t="s">
        <v>112</v>
      </c>
      <c r="B104" s="0" t="s">
        <v>82</v>
      </c>
      <c r="C104" s="7" t="n">
        <v>177951791.22</v>
      </c>
      <c r="D104" s="7" t="n">
        <v>177951791.22</v>
      </c>
      <c r="E104" s="7" t="n">
        <v>4200313.75</v>
      </c>
      <c r="F104" s="7" t="n">
        <v>182152104.97</v>
      </c>
      <c r="G104" s="7" t="n">
        <f aca="false">ROUND(C104-D104,2)</f>
        <v>0</v>
      </c>
      <c r="H104" s="7" t="n">
        <f aca="false">ROUND(C104+E104-F104,2)</f>
        <v>0</v>
      </c>
    </row>
    <row r="105" customFormat="false" ht="15" hidden="false" customHeight="false" outlineLevel="0" collapsed="false">
      <c r="A105" s="0" t="s">
        <v>112</v>
      </c>
      <c r="B105" s="0" t="s">
        <v>83</v>
      </c>
      <c r="C105" s="7" t="n">
        <v>1517875.69</v>
      </c>
      <c r="D105" s="7" t="n">
        <v>1517875.69</v>
      </c>
      <c r="E105" s="7" t="n">
        <v>-14043.48</v>
      </c>
      <c r="F105" s="7" t="n">
        <v>1503832.21</v>
      </c>
      <c r="G105" s="7" t="n">
        <f aca="false">ROUND(C105-D105,2)</f>
        <v>0</v>
      </c>
      <c r="H105" s="7" t="n">
        <f aca="false">ROUND(C105+E105-F105,2)</f>
        <v>0</v>
      </c>
    </row>
    <row r="106" customFormat="false" ht="15" hidden="false" customHeight="false" outlineLevel="0" collapsed="false">
      <c r="A106" s="10" t="s">
        <v>113</v>
      </c>
      <c r="C106" s="7" t="n">
        <f aca="false">SUM(C51:C105)</f>
        <v>31046823000</v>
      </c>
      <c r="D106" s="7" t="n">
        <f aca="false">SUM(D51:D105)</f>
        <v>31046823000</v>
      </c>
      <c r="E106" s="7" t="n">
        <f aca="false">SUM(E51:E105)</f>
        <v>5416200784.44</v>
      </c>
      <c r="F106" s="7" t="n">
        <f aca="false">SUM(F51:F105)</f>
        <v>36463023784.44</v>
      </c>
      <c r="G106" s="7" t="n">
        <f aca="false">SUM(G51:G105)</f>
        <v>0</v>
      </c>
      <c r="H106" s="7" t="n">
        <f aca="false">SUM(H51:H105)</f>
        <v>0</v>
      </c>
    </row>
    <row r="107" customFormat="false" ht="15" hidden="false" customHeight="false" outlineLevel="0" collapsed="false">
      <c r="A107" s="0" t="s">
        <v>114</v>
      </c>
      <c r="G107" s="0" t="n">
        <f aca="false">COUNTIF(G51:G105,"&lt;&gt;0")</f>
        <v>0</v>
      </c>
      <c r="H107" s="0" t="n">
        <f aca="false">COUNTIF(H51:H105,"&lt;&gt;0")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17" min="3" style="0" width="17"/>
  </cols>
  <sheetData>
    <row r="1" customFormat="false" ht="15" hidden="false" customHeight="false" outlineLevel="0" collapsed="false">
      <c r="A1" s="6" t="s">
        <v>136</v>
      </c>
    </row>
    <row r="3" customFormat="false" ht="41.75" hidden="false" customHeight="false" outlineLevel="0" collapsed="false">
      <c r="A3" s="1" t="s">
        <v>116</v>
      </c>
      <c r="B3" s="1" t="s">
        <v>73</v>
      </c>
      <c r="C3" s="1" t="s">
        <v>137</v>
      </c>
      <c r="D3" s="1" t="s">
        <v>117</v>
      </c>
      <c r="E3" s="1" t="s">
        <v>118</v>
      </c>
      <c r="F3" s="1" t="s">
        <v>119</v>
      </c>
      <c r="G3" s="1" t="s">
        <v>120</v>
      </c>
      <c r="H3" s="1" t="s">
        <v>121</v>
      </c>
      <c r="I3" s="1" t="s">
        <v>122</v>
      </c>
      <c r="J3" s="1" t="s">
        <v>123</v>
      </c>
      <c r="K3" s="1" t="s">
        <v>124</v>
      </c>
      <c r="L3" s="1" t="s">
        <v>125</v>
      </c>
      <c r="M3" s="1" t="s">
        <v>126</v>
      </c>
      <c r="N3" s="1" t="s">
        <v>127</v>
      </c>
      <c r="O3" s="1" t="s">
        <v>128</v>
      </c>
      <c r="P3" s="1" t="s">
        <v>129</v>
      </c>
      <c r="Q3" s="1" t="s">
        <v>130</v>
      </c>
    </row>
    <row r="4" customFormat="false" ht="15" hidden="false" customHeight="false" outlineLevel="0" collapsed="false">
      <c r="A4" s="0" t="s">
        <v>131</v>
      </c>
      <c r="B4" s="0" t="s">
        <v>81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-67229098.08</v>
      </c>
      <c r="I4" s="7" t="n">
        <v>6000000</v>
      </c>
      <c r="J4" s="7" t="n">
        <v>10815910.35</v>
      </c>
      <c r="K4" s="7" t="n">
        <v>0</v>
      </c>
      <c r="L4" s="7" t="n">
        <v>80705131.94</v>
      </c>
      <c r="M4" s="7" t="n">
        <v>0</v>
      </c>
      <c r="N4" s="7" t="n">
        <v>622411274.17</v>
      </c>
      <c r="O4" s="7" t="n">
        <v>-58529.93</v>
      </c>
      <c r="P4" s="7" t="n">
        <f aca="false">SUM(C4:O4)</f>
        <v>652644688.45</v>
      </c>
      <c r="Q4" s="0" t="n">
        <v>15089</v>
      </c>
    </row>
    <row r="5" customFormat="false" ht="15" hidden="false" customHeight="false" outlineLevel="0" collapsed="false">
      <c r="A5" s="0" t="s">
        <v>131</v>
      </c>
      <c r="B5" s="0" t="s">
        <v>84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-52976264.23</v>
      </c>
      <c r="I5" s="7" t="n">
        <v>60002700</v>
      </c>
      <c r="J5" s="7" t="n">
        <v>8522894.71</v>
      </c>
      <c r="K5" s="7" t="n">
        <v>0</v>
      </c>
      <c r="L5" s="7" t="n">
        <v>49697408.68</v>
      </c>
      <c r="M5" s="7" t="n">
        <v>-1500000</v>
      </c>
      <c r="N5" s="7" t="n">
        <v>490457630.27</v>
      </c>
      <c r="O5" s="7" t="n">
        <v>-46121.36</v>
      </c>
      <c r="P5" s="7" t="n">
        <f aca="false">SUM(C5:O5)</f>
        <v>554158248.07</v>
      </c>
      <c r="Q5" s="0" t="n">
        <v>16958</v>
      </c>
    </row>
    <row r="6" customFormat="false" ht="15" hidden="false" customHeight="false" outlineLevel="0" collapsed="false">
      <c r="A6" s="0" t="s">
        <v>131</v>
      </c>
      <c r="B6" s="0" t="s">
        <v>85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-17372925.03</v>
      </c>
      <c r="I6" s="7" t="n">
        <v>2500000</v>
      </c>
      <c r="J6" s="7" t="n">
        <v>2794980.22</v>
      </c>
      <c r="K6" s="7" t="n">
        <v>0</v>
      </c>
      <c r="L6" s="7" t="n">
        <v>18078661.06</v>
      </c>
      <c r="M6" s="7" t="n">
        <v>-1500000</v>
      </c>
      <c r="N6" s="7" t="n">
        <v>160839647.03</v>
      </c>
      <c r="O6" s="7" t="n">
        <v>-15124.94</v>
      </c>
      <c r="P6" s="7" t="n">
        <f aca="false">SUM(C6:O6)</f>
        <v>165325238.34</v>
      </c>
      <c r="Q6" s="0" t="n">
        <v>13589</v>
      </c>
    </row>
    <row r="7" customFormat="false" ht="15" hidden="false" customHeight="false" outlineLevel="0" collapsed="false">
      <c r="A7" s="0" t="s">
        <v>131</v>
      </c>
      <c r="B7" s="0" t="s">
        <v>86</v>
      </c>
      <c r="C7" s="7" t="n">
        <v>0</v>
      </c>
      <c r="D7" s="7" t="n">
        <v>9000000</v>
      </c>
      <c r="E7" s="7" t="n">
        <v>-20187528</v>
      </c>
      <c r="F7" s="7" t="n">
        <v>-637920.85</v>
      </c>
      <c r="G7" s="7" t="n">
        <v>22069825</v>
      </c>
      <c r="H7" s="7" t="n">
        <v>-45762396.35</v>
      </c>
      <c r="I7" s="7" t="n">
        <v>213122203</v>
      </c>
      <c r="J7" s="7" t="n">
        <v>8513240.54</v>
      </c>
      <c r="K7" s="7" t="n">
        <v>0</v>
      </c>
      <c r="L7" s="7" t="n">
        <v>59295461.73</v>
      </c>
      <c r="M7" s="7" t="n">
        <v>0</v>
      </c>
      <c r="N7" s="7" t="n">
        <v>555100589.86</v>
      </c>
      <c r="O7" s="7" t="n">
        <v>0</v>
      </c>
      <c r="P7" s="7" t="n">
        <f aca="false">SUM(C7:O7)</f>
        <v>800513474.93</v>
      </c>
      <c r="Q7" s="0" t="n">
        <v>13324</v>
      </c>
    </row>
    <row r="8" customFormat="false" ht="15" hidden="false" customHeight="false" outlineLevel="0" collapsed="false">
      <c r="A8" s="0" t="s">
        <v>131</v>
      </c>
      <c r="B8" s="0" t="s">
        <v>87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-7016794.73</v>
      </c>
      <c r="I8" s="7" t="n">
        <v>30000000</v>
      </c>
      <c r="J8" s="7" t="n">
        <v>1128871.65</v>
      </c>
      <c r="K8" s="7" t="n">
        <v>0</v>
      </c>
      <c r="L8" s="7" t="n">
        <v>10625523.44</v>
      </c>
      <c r="M8" s="7" t="n">
        <v>0</v>
      </c>
      <c r="N8" s="7" t="n">
        <v>64961932.71</v>
      </c>
      <c r="O8" s="7" t="n">
        <v>-6108.85</v>
      </c>
      <c r="P8" s="7" t="n">
        <f aca="false">SUM(C8:O8)</f>
        <v>99693424.22</v>
      </c>
      <c r="Q8" s="0" t="n">
        <v>13331</v>
      </c>
    </row>
    <row r="9" customFormat="false" ht="15" hidden="false" customHeight="false" outlineLevel="0" collapsed="false">
      <c r="A9" s="0" t="s">
        <v>131</v>
      </c>
      <c r="B9" s="0" t="s">
        <v>89</v>
      </c>
      <c r="C9" s="7" t="n">
        <v>0</v>
      </c>
      <c r="D9" s="7" t="n">
        <v>0</v>
      </c>
      <c r="E9" s="7" t="n">
        <v>0</v>
      </c>
      <c r="F9" s="7" t="n">
        <v>-0.01</v>
      </c>
      <c r="G9" s="7" t="n">
        <v>0</v>
      </c>
      <c r="H9" s="7" t="n">
        <v>-43271046.14</v>
      </c>
      <c r="I9" s="7" t="n">
        <v>55000000</v>
      </c>
      <c r="J9" s="7" t="n">
        <v>6961505.79</v>
      </c>
      <c r="K9" s="7" t="n">
        <v>0</v>
      </c>
      <c r="L9" s="7" t="n">
        <v>47004695.27</v>
      </c>
      <c r="M9" s="7" t="n">
        <v>0</v>
      </c>
      <c r="N9" s="7" t="n">
        <v>400606102.73</v>
      </c>
      <c r="O9" s="7" t="n">
        <v>-37671.95</v>
      </c>
      <c r="P9" s="7" t="n">
        <f aca="false">SUM(C9:O9)</f>
        <v>466263585.69</v>
      </c>
      <c r="Q9" s="0" t="n">
        <v>16419</v>
      </c>
    </row>
    <row r="10" customFormat="false" ht="15" hidden="false" customHeight="false" outlineLevel="0" collapsed="false">
      <c r="A10" s="0" t="s">
        <v>131</v>
      </c>
      <c r="B10" s="0" t="s">
        <v>91</v>
      </c>
      <c r="C10" s="7" t="n">
        <v>0</v>
      </c>
      <c r="D10" s="7" t="n">
        <v>0</v>
      </c>
      <c r="E10" s="7" t="n">
        <v>-18803816</v>
      </c>
      <c r="F10" s="7" t="n">
        <v>0</v>
      </c>
      <c r="G10" s="7" t="n">
        <v>20760742</v>
      </c>
      <c r="H10" s="7" t="n">
        <v>0</v>
      </c>
      <c r="I10" s="7" t="n">
        <v>113043074</v>
      </c>
      <c r="J10" s="7" t="n">
        <v>0</v>
      </c>
      <c r="K10" s="7" t="n">
        <v>0</v>
      </c>
      <c r="L10" s="7" t="n">
        <v>15311772.8</v>
      </c>
      <c r="M10" s="7" t="n">
        <v>0</v>
      </c>
      <c r="N10" s="7" t="n">
        <v>64119251.05</v>
      </c>
      <c r="O10" s="7" t="n">
        <v>0</v>
      </c>
      <c r="P10" s="7" t="n">
        <f aca="false">SUM(C10:O10)</f>
        <v>194431023.85</v>
      </c>
      <c r="Q10" s="0" t="n">
        <v>4944</v>
      </c>
    </row>
    <row r="11" customFormat="false" ht="15" hidden="false" customHeight="false" outlineLevel="0" collapsed="false">
      <c r="A11" s="0" t="s">
        <v>131</v>
      </c>
      <c r="B11" s="0" t="s">
        <v>92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-15794365.46</v>
      </c>
      <c r="I11" s="7" t="n">
        <v>0</v>
      </c>
      <c r="J11" s="7" t="n">
        <v>2541019.38</v>
      </c>
      <c r="K11" s="7" t="n">
        <v>0</v>
      </c>
      <c r="L11" s="7" t="n">
        <v>18902224.8</v>
      </c>
      <c r="M11" s="7" t="n">
        <v>0</v>
      </c>
      <c r="N11" s="7" t="n">
        <v>146225241.95</v>
      </c>
      <c r="O11" s="7" t="n">
        <v>-13750.64</v>
      </c>
      <c r="P11" s="7" t="n">
        <f aca="false">SUM(C11:O11)</f>
        <v>151860370.03</v>
      </c>
      <c r="Q11" s="0" t="n">
        <v>13120</v>
      </c>
    </row>
    <row r="12" customFormat="false" ht="15" hidden="false" customHeight="false" outlineLevel="0" collapsed="false">
      <c r="A12" s="0" t="s">
        <v>131</v>
      </c>
      <c r="B12" s="0" t="s">
        <v>94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-52943133.98</v>
      </c>
      <c r="I12" s="7" t="n">
        <v>6500000</v>
      </c>
      <c r="J12" s="7" t="n">
        <v>8517564.67</v>
      </c>
      <c r="K12" s="7" t="n">
        <v>0</v>
      </c>
      <c r="L12" s="7" t="n">
        <v>56115770.07</v>
      </c>
      <c r="M12" s="7" t="n">
        <v>0</v>
      </c>
      <c r="N12" s="7" t="n">
        <v>490150908.19</v>
      </c>
      <c r="O12" s="7" t="n">
        <v>-46092.51</v>
      </c>
      <c r="P12" s="7" t="n">
        <f aca="false">SUM(C12:O12)</f>
        <v>508295016.44</v>
      </c>
      <c r="Q12" s="0" t="n">
        <v>14499</v>
      </c>
    </row>
    <row r="13" customFormat="false" ht="15" hidden="false" customHeight="false" outlineLevel="0" collapsed="false">
      <c r="A13" s="0" t="s">
        <v>131</v>
      </c>
      <c r="B13" s="0" t="s">
        <v>96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-7421178.81</v>
      </c>
      <c r="I13" s="7" t="n">
        <v>0</v>
      </c>
      <c r="J13" s="7" t="n">
        <v>1193929.52</v>
      </c>
      <c r="K13" s="7" t="n">
        <v>0</v>
      </c>
      <c r="L13" s="7" t="n">
        <v>7717122.72</v>
      </c>
      <c r="M13" s="7" t="n">
        <v>0</v>
      </c>
      <c r="N13" s="7" t="n">
        <v>68705746.35</v>
      </c>
      <c r="O13" s="7" t="n">
        <v>-6460.91</v>
      </c>
      <c r="P13" s="7" t="n">
        <f aca="false">SUM(C13:O13)</f>
        <v>70189158.87</v>
      </c>
      <c r="Q13" s="0" t="n">
        <v>12220</v>
      </c>
    </row>
    <row r="14" customFormat="false" ht="15" hidden="false" customHeight="false" outlineLevel="0" collapsed="false">
      <c r="A14" s="0" t="s">
        <v>131</v>
      </c>
      <c r="B14" s="0" t="s">
        <v>97</v>
      </c>
      <c r="C14" s="7" t="n">
        <v>0</v>
      </c>
      <c r="D14" s="7" t="n">
        <v>6371000</v>
      </c>
      <c r="E14" s="7" t="n">
        <v>-18090294</v>
      </c>
      <c r="F14" s="7" t="n">
        <v>-58079.14</v>
      </c>
      <c r="G14" s="7" t="n">
        <v>19980421</v>
      </c>
      <c r="H14" s="7" t="n">
        <v>-3475058.62</v>
      </c>
      <c r="I14" s="7" t="n">
        <v>110117073</v>
      </c>
      <c r="J14" s="7" t="n">
        <v>663668.67</v>
      </c>
      <c r="K14" s="7" t="n">
        <v>0</v>
      </c>
      <c r="L14" s="7" t="n">
        <v>13121793.5</v>
      </c>
      <c r="M14" s="7" t="n">
        <v>0</v>
      </c>
      <c r="N14" s="7" t="n">
        <v>50486456.79</v>
      </c>
      <c r="O14" s="7" t="n">
        <v>0</v>
      </c>
      <c r="P14" s="7" t="n">
        <f aca="false">SUM(C14:O14)</f>
        <v>179116981.2</v>
      </c>
      <c r="Q14" s="0" t="n">
        <v>7051</v>
      </c>
    </row>
    <row r="15" customFormat="false" ht="15" hidden="false" customHeight="false" outlineLevel="0" collapsed="false">
      <c r="A15" s="0" t="s">
        <v>131</v>
      </c>
      <c r="B15" s="0" t="s">
        <v>98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-72324337.57</v>
      </c>
      <c r="I15" s="7" t="n">
        <v>8000000</v>
      </c>
      <c r="J15" s="7" t="n">
        <v>11635639.53</v>
      </c>
      <c r="K15" s="7" t="n">
        <v>0</v>
      </c>
      <c r="L15" s="7" t="n">
        <v>73669293.05</v>
      </c>
      <c r="M15" s="7" t="n">
        <v>0</v>
      </c>
      <c r="N15" s="7" t="n">
        <v>669583326.13</v>
      </c>
      <c r="O15" s="7" t="n">
        <v>-62965.87</v>
      </c>
      <c r="P15" s="7" t="n">
        <f aca="false">SUM(C15:O15)</f>
        <v>690500955.27</v>
      </c>
      <c r="Q15" s="0" t="n">
        <v>15492</v>
      </c>
    </row>
    <row r="16" customFormat="false" ht="15" hidden="false" customHeight="false" outlineLevel="0" collapsed="false">
      <c r="A16" s="0" t="s">
        <v>131</v>
      </c>
      <c r="B16" s="0" t="s">
        <v>99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-19259401.16</v>
      </c>
      <c r="I16" s="7" t="n">
        <v>0</v>
      </c>
      <c r="J16" s="7" t="n">
        <v>3098479.11</v>
      </c>
      <c r="K16" s="7" t="n">
        <v>0</v>
      </c>
      <c r="L16" s="7" t="n">
        <v>23522940.72</v>
      </c>
      <c r="M16" s="7" t="n">
        <v>0</v>
      </c>
      <c r="N16" s="7" t="n">
        <v>178304763.23</v>
      </c>
      <c r="O16" s="7" t="n">
        <v>-16767.31</v>
      </c>
      <c r="P16" s="7" t="n">
        <f aca="false">SUM(C16:O16)</f>
        <v>185650014.59</v>
      </c>
      <c r="Q16" s="0" t="n">
        <v>13588</v>
      </c>
    </row>
    <row r="17" customFormat="false" ht="15" hidden="false" customHeight="false" outlineLevel="0" collapsed="false">
      <c r="A17" s="0" t="s">
        <v>131</v>
      </c>
      <c r="B17" s="0" t="s">
        <v>100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-7985367.69</v>
      </c>
      <c r="I17" s="7" t="n">
        <v>0</v>
      </c>
      <c r="J17" s="7" t="n">
        <v>1284697.01</v>
      </c>
      <c r="K17" s="7" t="n">
        <v>0</v>
      </c>
      <c r="L17" s="7" t="n">
        <v>6472341.36</v>
      </c>
      <c r="M17" s="7" t="n">
        <v>0</v>
      </c>
      <c r="N17" s="7" t="n">
        <v>73929042.98</v>
      </c>
      <c r="O17" s="7" t="n">
        <v>-6952.09</v>
      </c>
      <c r="P17" s="7" t="n">
        <f aca="false">SUM(C17:O17)</f>
        <v>73693761.57</v>
      </c>
      <c r="Q17" s="0" t="n">
        <v>12364</v>
      </c>
    </row>
    <row r="18" customFormat="false" ht="15" hidden="false" customHeight="false" outlineLevel="0" collapsed="false">
      <c r="A18" s="0" t="s">
        <v>131</v>
      </c>
      <c r="B18" s="0" t="s">
        <v>101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-69429515.14</v>
      </c>
      <c r="I18" s="7" t="n">
        <v>9000000</v>
      </c>
      <c r="J18" s="7" t="n">
        <v>10850398.86</v>
      </c>
      <c r="K18" s="7" t="n">
        <v>0</v>
      </c>
      <c r="L18" s="7" t="n">
        <v>60736221.72</v>
      </c>
      <c r="M18" s="7" t="n">
        <v>0</v>
      </c>
      <c r="N18" s="7" t="n">
        <v>624395946.46</v>
      </c>
      <c r="O18" s="7" t="n">
        <v>-58716.57</v>
      </c>
      <c r="P18" s="7" t="n">
        <f aca="false">SUM(C18:O18)</f>
        <v>635494335.33</v>
      </c>
      <c r="Q18" s="0" t="n">
        <v>15399</v>
      </c>
    </row>
    <row r="19" customFormat="false" ht="15" hidden="false" customHeight="false" outlineLevel="0" collapsed="false">
      <c r="A19" s="0" t="s">
        <v>131</v>
      </c>
      <c r="B19" s="0" t="s">
        <v>102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-8998763.97</v>
      </c>
      <c r="I19" s="7" t="n">
        <v>0</v>
      </c>
      <c r="J19" s="7" t="n">
        <v>1447733.6</v>
      </c>
      <c r="K19" s="7" t="n">
        <v>0</v>
      </c>
      <c r="L19" s="7" t="n">
        <v>9445982.04</v>
      </c>
      <c r="M19" s="7" t="n">
        <v>0</v>
      </c>
      <c r="N19" s="7" t="n">
        <v>83311130.2</v>
      </c>
      <c r="O19" s="7" t="n">
        <v>-7834.36</v>
      </c>
      <c r="P19" s="7" t="n">
        <f aca="false">SUM(C19:O19)</f>
        <v>85198247.51</v>
      </c>
      <c r="Q19" s="0" t="n">
        <v>12652</v>
      </c>
    </row>
    <row r="20" customFormat="false" ht="15" hidden="false" customHeight="false" outlineLevel="0" collapsed="false">
      <c r="A20" s="0" t="s">
        <v>131</v>
      </c>
      <c r="B20" s="0" t="s">
        <v>103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-17179015.56</v>
      </c>
      <c r="I20" s="7" t="n">
        <v>3492000</v>
      </c>
      <c r="J20" s="7" t="n">
        <v>2763783.8</v>
      </c>
      <c r="K20" s="7" t="n">
        <v>0</v>
      </c>
      <c r="L20" s="7" t="n">
        <v>14799070.39</v>
      </c>
      <c r="M20" s="7" t="n">
        <v>0</v>
      </c>
      <c r="N20" s="7" t="n">
        <v>159044420.73</v>
      </c>
      <c r="O20" s="7" t="n">
        <v>-14956.12</v>
      </c>
      <c r="P20" s="7" t="n">
        <f aca="false">SUM(C20:O20)</f>
        <v>162905303.24</v>
      </c>
      <c r="Q20" s="0" t="n">
        <v>13461</v>
      </c>
    </row>
    <row r="21" customFormat="false" ht="15" hidden="false" customHeight="false" outlineLevel="0" collapsed="false">
      <c r="A21" s="0" t="s">
        <v>131</v>
      </c>
      <c r="B21" s="0" t="s">
        <v>104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-61567720.86</v>
      </c>
      <c r="I21" s="7" t="n">
        <v>4000000</v>
      </c>
      <c r="J21" s="7" t="n">
        <v>9905100.14</v>
      </c>
      <c r="K21" s="7" t="n">
        <v>0</v>
      </c>
      <c r="L21" s="7" t="n">
        <v>51299665.19</v>
      </c>
      <c r="M21" s="7" t="n">
        <v>-2128000</v>
      </c>
      <c r="N21" s="7" t="n">
        <v>569997883.12</v>
      </c>
      <c r="O21" s="7" t="n">
        <v>-53601.11</v>
      </c>
      <c r="P21" s="7" t="n">
        <f aca="false">SUM(C21:O21)</f>
        <v>571453326.48</v>
      </c>
      <c r="Q21" s="0" t="n">
        <v>14711</v>
      </c>
    </row>
    <row r="22" customFormat="false" ht="15" hidden="false" customHeight="false" outlineLevel="0" collapsed="false">
      <c r="A22" s="0" t="s">
        <v>131</v>
      </c>
      <c r="B22" s="0" t="s">
        <v>105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-22484729.66</v>
      </c>
      <c r="I22" s="7" t="n">
        <v>3000000</v>
      </c>
      <c r="J22" s="7" t="n">
        <v>3617374.43</v>
      </c>
      <c r="K22" s="7" t="n">
        <v>0</v>
      </c>
      <c r="L22" s="7" t="n">
        <v>26601695.36</v>
      </c>
      <c r="M22" s="7" t="n">
        <v>-2000000</v>
      </c>
      <c r="N22" s="7" t="n">
        <v>208165060.03</v>
      </c>
      <c r="O22" s="7" t="n">
        <v>-19575.3</v>
      </c>
      <c r="P22" s="7" t="n">
        <f aca="false">SUM(C22:O22)</f>
        <v>216879824.86</v>
      </c>
      <c r="Q22" s="0" t="n">
        <v>14053</v>
      </c>
    </row>
    <row r="23" customFormat="false" ht="15" hidden="false" customHeight="false" outlineLevel="0" collapsed="false">
      <c r="A23" s="0" t="s">
        <v>131</v>
      </c>
      <c r="B23" s="0" t="s">
        <v>106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-64888364.6</v>
      </c>
      <c r="I23" s="7" t="n">
        <v>7500000</v>
      </c>
      <c r="J23" s="7" t="n">
        <v>10758847.54</v>
      </c>
      <c r="K23" s="7" t="n">
        <v>0</v>
      </c>
      <c r="L23" s="7" t="n">
        <v>68516864.63</v>
      </c>
      <c r="M23" s="7" t="n">
        <v>0</v>
      </c>
      <c r="N23" s="7" t="n">
        <v>619127543.65</v>
      </c>
      <c r="O23" s="7" t="n">
        <v>-58221.14</v>
      </c>
      <c r="P23" s="7" t="n">
        <f aca="false">SUM(C23:O23)</f>
        <v>640956670.08</v>
      </c>
      <c r="Q23" s="0" t="n">
        <v>15001</v>
      </c>
    </row>
    <row r="24" customFormat="false" ht="15" hidden="false" customHeight="false" outlineLevel="0" collapsed="false">
      <c r="A24" s="0" t="s">
        <v>131</v>
      </c>
      <c r="B24" s="0" t="s">
        <v>107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-15202892.83</v>
      </c>
      <c r="I24" s="7" t="n">
        <v>0</v>
      </c>
      <c r="J24" s="7" t="n">
        <v>2445862.44</v>
      </c>
      <c r="K24" s="7" t="n">
        <v>0</v>
      </c>
      <c r="L24" s="7" t="n">
        <v>18595109.64</v>
      </c>
      <c r="M24" s="7" t="n">
        <v>0</v>
      </c>
      <c r="N24" s="7" t="n">
        <v>140749350.66</v>
      </c>
      <c r="O24" s="7" t="n">
        <v>-13235.7</v>
      </c>
      <c r="P24" s="7" t="n">
        <f aca="false">SUM(C24:O24)</f>
        <v>146574194.21</v>
      </c>
      <c r="Q24" s="0" t="n">
        <v>12832</v>
      </c>
    </row>
    <row r="25" customFormat="false" ht="15" hidden="false" customHeight="false" outlineLevel="0" collapsed="false">
      <c r="A25" s="0" t="s">
        <v>131</v>
      </c>
      <c r="B25" s="0" t="s">
        <v>108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-77457579.42</v>
      </c>
      <c r="I25" s="7" t="n">
        <v>11000000</v>
      </c>
      <c r="J25" s="7" t="n">
        <v>12461482.58</v>
      </c>
      <c r="K25" s="7" t="n">
        <v>0</v>
      </c>
      <c r="L25" s="7" t="n">
        <v>85574596.66</v>
      </c>
      <c r="M25" s="7" t="n">
        <v>0</v>
      </c>
      <c r="N25" s="7" t="n">
        <v>717107206.35</v>
      </c>
      <c r="O25" s="7" t="n">
        <v>-67434.89</v>
      </c>
      <c r="P25" s="7" t="n">
        <f aca="false">SUM(C25:O25)</f>
        <v>748618271.28</v>
      </c>
      <c r="Q25" s="0" t="n">
        <v>15770</v>
      </c>
    </row>
    <row r="26" customFormat="false" ht="15" hidden="false" customHeight="false" outlineLevel="0" collapsed="false">
      <c r="A26" s="0" t="s">
        <v>131</v>
      </c>
      <c r="B26" s="0" t="s">
        <v>112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-19387050.11</v>
      </c>
      <c r="I26" s="7" t="n">
        <v>0</v>
      </c>
      <c r="J26" s="7" t="n">
        <v>3119015.46</v>
      </c>
      <c r="K26" s="7" t="n">
        <v>0</v>
      </c>
      <c r="L26" s="7" t="n">
        <v>20454304.92</v>
      </c>
      <c r="M26" s="7" t="n">
        <v>0</v>
      </c>
      <c r="N26" s="7" t="n">
        <v>179486545.36</v>
      </c>
      <c r="O26" s="7" t="n">
        <v>-16878.45</v>
      </c>
      <c r="P26" s="7" t="n">
        <f aca="false">SUM(C26:O26)</f>
        <v>183655937.18</v>
      </c>
      <c r="Q26" s="0" t="n">
        <v>13732</v>
      </c>
    </row>
    <row r="27" customFormat="false" ht="15" hidden="false" customHeight="false" outlineLevel="0" collapsed="false">
      <c r="A27" s="0" t="s">
        <v>132</v>
      </c>
      <c r="B27" s="0" t="s">
        <v>88</v>
      </c>
      <c r="C27" s="7" t="n">
        <v>12000000</v>
      </c>
      <c r="D27" s="7" t="n">
        <v>-8000000</v>
      </c>
      <c r="E27" s="7" t="n">
        <v>-22571724</v>
      </c>
      <c r="F27" s="7" t="n">
        <v>0</v>
      </c>
      <c r="G27" s="7" t="n">
        <v>23958359</v>
      </c>
      <c r="H27" s="7" t="n">
        <v>0</v>
      </c>
      <c r="I27" s="7" t="n">
        <v>1248313061.51</v>
      </c>
      <c r="J27" s="7" t="n">
        <v>0</v>
      </c>
      <c r="K27" s="7" t="n">
        <v>0</v>
      </c>
      <c r="L27" s="7" t="n">
        <v>192548123.58</v>
      </c>
      <c r="M27" s="7" t="n">
        <v>0</v>
      </c>
      <c r="N27" s="7" t="n">
        <v>900000000</v>
      </c>
      <c r="O27" s="7" t="n">
        <v>0</v>
      </c>
      <c r="P27" s="7" t="n">
        <f aca="false">SUM(C27:O27)</f>
        <v>2346247820.09</v>
      </c>
      <c r="Q27" s="0" t="n">
        <v>53173</v>
      </c>
    </row>
    <row r="28" customFormat="false" ht="15" hidden="false" customHeight="false" outlineLevel="0" collapsed="false">
      <c r="A28" s="0" t="s">
        <v>132</v>
      </c>
      <c r="B28" s="0" t="s">
        <v>90</v>
      </c>
      <c r="C28" s="7" t="n">
        <v>0</v>
      </c>
      <c r="D28" s="7" t="n">
        <v>-10000000</v>
      </c>
      <c r="E28" s="7" t="n">
        <v>-19859905</v>
      </c>
      <c r="F28" s="7" t="n">
        <v>-2389995.17</v>
      </c>
      <c r="G28" s="7" t="n">
        <v>21139876</v>
      </c>
      <c r="H28" s="7" t="n">
        <v>-34527803.54</v>
      </c>
      <c r="I28" s="7" t="n">
        <v>1586382169.91</v>
      </c>
      <c r="J28" s="7" t="n">
        <v>16667167.32</v>
      </c>
      <c r="K28" s="7" t="n">
        <v>0</v>
      </c>
      <c r="L28" s="7" t="n">
        <v>452931845.96</v>
      </c>
      <c r="M28" s="7" t="n">
        <v>0</v>
      </c>
      <c r="N28" s="7" t="n">
        <v>2350000000</v>
      </c>
      <c r="O28" s="7" t="n">
        <v>0</v>
      </c>
      <c r="P28" s="7" t="n">
        <f aca="false">SUM(C28:O28)</f>
        <v>4360343355.48</v>
      </c>
      <c r="Q28" s="0" t="n">
        <v>69078</v>
      </c>
    </row>
    <row r="29" customFormat="false" ht="15" hidden="false" customHeight="false" outlineLevel="0" collapsed="false">
      <c r="A29" s="0" t="s">
        <v>132</v>
      </c>
      <c r="B29" s="0" t="s">
        <v>93</v>
      </c>
      <c r="C29" s="7" t="n">
        <v>0</v>
      </c>
      <c r="D29" s="7" t="n">
        <v>0</v>
      </c>
      <c r="E29" s="7" t="n">
        <v>0</v>
      </c>
      <c r="F29" s="7" t="n">
        <v>-2.42</v>
      </c>
      <c r="G29" s="7" t="n">
        <v>0</v>
      </c>
      <c r="H29" s="7" t="n">
        <v>-172466049.17</v>
      </c>
      <c r="I29" s="7" t="n">
        <v>25000000</v>
      </c>
      <c r="J29" s="7" t="n">
        <v>65989257.11</v>
      </c>
      <c r="K29" s="7" t="n">
        <v>0</v>
      </c>
      <c r="L29" s="7" t="n">
        <v>290565134</v>
      </c>
      <c r="M29" s="7" t="n">
        <v>0</v>
      </c>
      <c r="N29" s="7" t="n">
        <v>1958217710.05</v>
      </c>
      <c r="O29" s="7" t="n">
        <v>-187423.11</v>
      </c>
      <c r="P29" s="7" t="n">
        <f aca="false">SUM(C29:O29)</f>
        <v>2167118626.46</v>
      </c>
      <c r="Q29" s="0" t="n">
        <v>17565</v>
      </c>
    </row>
    <row r="30" customFormat="false" ht="15" hidden="false" customHeight="false" outlineLevel="0" collapsed="false">
      <c r="A30" s="0" t="s">
        <v>132</v>
      </c>
      <c r="B30" s="0" t="s">
        <v>95</v>
      </c>
      <c r="C30" s="7" t="n">
        <v>3500000</v>
      </c>
      <c r="D30" s="7" t="n">
        <v>-7884000</v>
      </c>
      <c r="E30" s="7" t="n">
        <v>-22343846</v>
      </c>
      <c r="F30" s="7" t="n">
        <v>0</v>
      </c>
      <c r="G30" s="7" t="n">
        <v>25312872</v>
      </c>
      <c r="H30" s="7" t="n">
        <v>0</v>
      </c>
      <c r="I30" s="7" t="n">
        <v>973018364.42</v>
      </c>
      <c r="J30" s="7" t="n">
        <v>0</v>
      </c>
      <c r="K30" s="7" t="n">
        <v>0</v>
      </c>
      <c r="L30" s="7" t="n">
        <v>143626615.72</v>
      </c>
      <c r="M30" s="7" t="n">
        <v>0</v>
      </c>
      <c r="N30" s="7" t="n">
        <v>569771000</v>
      </c>
      <c r="O30" s="7" t="n">
        <v>0</v>
      </c>
      <c r="P30" s="7" t="n">
        <f aca="false">SUM(C30:O30)</f>
        <v>1685001006.14</v>
      </c>
      <c r="Q30" s="0" t="n">
        <v>41581</v>
      </c>
    </row>
    <row r="31" customFormat="false" ht="15" hidden="false" customHeight="false" outlineLevel="0" collapsed="false">
      <c r="A31" s="0" t="s">
        <v>132</v>
      </c>
      <c r="B31" s="0" t="s">
        <v>109</v>
      </c>
      <c r="C31" s="7" t="n">
        <v>0</v>
      </c>
      <c r="D31" s="7" t="n">
        <v>0</v>
      </c>
      <c r="E31" s="7" t="n">
        <v>0</v>
      </c>
      <c r="F31" s="7" t="n">
        <v>-2.41</v>
      </c>
      <c r="G31" s="7" t="n">
        <v>0</v>
      </c>
      <c r="H31" s="7" t="n">
        <v>-4327660147.29</v>
      </c>
      <c r="I31" s="7" t="n">
        <v>1853700504.91</v>
      </c>
      <c r="J31" s="7" t="n">
        <v>1057168575.57</v>
      </c>
      <c r="K31" s="7" t="n">
        <v>0</v>
      </c>
      <c r="L31" s="7" t="n">
        <v>1038319280.74</v>
      </c>
      <c r="M31" s="7" t="n">
        <v>166331000</v>
      </c>
      <c r="N31" s="7" t="n">
        <v>17935384289.95</v>
      </c>
      <c r="O31" s="7" t="n">
        <v>-3002576.89</v>
      </c>
      <c r="P31" s="7" t="n">
        <f aca="false">SUM(C31:O31)</f>
        <v>17720240924.58</v>
      </c>
      <c r="Q31" s="0" t="n">
        <v>109478</v>
      </c>
    </row>
    <row r="32" customFormat="false" ht="15" hidden="false" customHeight="false" outlineLevel="0" collapsed="false">
      <c r="A32" s="10" t="s">
        <v>133</v>
      </c>
      <c r="C32" s="7" t="n">
        <f aca="false">SUM(C4:C31)</f>
        <v>15500000</v>
      </c>
      <c r="D32" s="7" t="n">
        <f aca="false">SUM(D4:D31)</f>
        <v>-10513000</v>
      </c>
      <c r="E32" s="7" t="n">
        <f aca="false">SUM(E4:E31)</f>
        <v>-121857113</v>
      </c>
      <c r="F32" s="7" t="n">
        <f aca="false">SUM(F4:F31)</f>
        <v>-3086000</v>
      </c>
      <c r="G32" s="7" t="n">
        <f aca="false">SUM(G4:G31)</f>
        <v>133222095</v>
      </c>
      <c r="H32" s="7" t="n">
        <f aca="false">SUM(H4:H31)</f>
        <v>-5304081000</v>
      </c>
      <c r="I32" s="7" t="n">
        <f aca="false">SUM(I4:I31)</f>
        <v>6328691150.75</v>
      </c>
      <c r="J32" s="7" t="n">
        <f aca="false">SUM(J4:J31)</f>
        <v>1264867000</v>
      </c>
      <c r="K32" s="7" t="n">
        <f aca="false">SUM(K4:K31)</f>
        <v>0</v>
      </c>
      <c r="L32" s="7" t="n">
        <f aca="false">SUM(L4:L31)</f>
        <v>2954254651.69</v>
      </c>
      <c r="M32" s="7" t="n">
        <f aca="false">SUM(M4:M31)</f>
        <v>159203000</v>
      </c>
      <c r="N32" s="7" t="n">
        <f aca="false">SUM(N4:N31)</f>
        <v>31050640000</v>
      </c>
      <c r="O32" s="7" t="n">
        <f aca="false">SUM(O4:O31)</f>
        <v>-3817000</v>
      </c>
      <c r="P32" s="7" t="n">
        <f aca="false">SUM(P4:P31)</f>
        <v>36463023784.44</v>
      </c>
      <c r="Q32" s="2" t="n">
        <f aca="false">SUM(Q4:Q31)</f>
        <v>600474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6"/>
  </cols>
  <sheetData>
    <row r="1" customFormat="false" ht="28.35" hidden="false" customHeight="false" outlineLevel="0" collapsed="false">
      <c r="A1" s="1" t="s">
        <v>74</v>
      </c>
      <c r="B1" s="1" t="s">
        <v>138</v>
      </c>
      <c r="C1" s="1" t="s">
        <v>139</v>
      </c>
      <c r="D1" s="1" t="s">
        <v>140</v>
      </c>
      <c r="E1" s="1" t="s">
        <v>32</v>
      </c>
      <c r="F1" s="1" t="s">
        <v>141</v>
      </c>
    </row>
    <row r="2" customFormat="false" ht="15" hidden="false" customHeight="false" outlineLevel="0" collapsed="false">
      <c r="A2" s="0" t="s">
        <v>38</v>
      </c>
      <c r="B2" s="7" t="n">
        <v>158263000</v>
      </c>
      <c r="C2" s="4" t="n">
        <f aca="false">B2/1000</f>
        <v>158263</v>
      </c>
      <c r="D2" s="11" t="n">
        <f aca="false">ROUND(C2,0)</f>
        <v>158263</v>
      </c>
      <c r="E2" s="11" t="n">
        <v>158263</v>
      </c>
      <c r="F2" s="4" t="n">
        <f aca="false">C2-E2</f>
        <v>0</v>
      </c>
    </row>
    <row r="3" customFormat="false" ht="15" hidden="false" customHeight="false" outlineLevel="0" collapsed="false">
      <c r="A3" s="0" t="s">
        <v>40</v>
      </c>
      <c r="B3" s="7" t="n">
        <v>3112255000</v>
      </c>
      <c r="C3" s="4" t="n">
        <f aca="false">B3/1000</f>
        <v>3112255</v>
      </c>
      <c r="D3" s="11" t="n">
        <f aca="false">ROUND(C3,0)</f>
        <v>3112255</v>
      </c>
      <c r="E3" s="11" t="n">
        <v>3112255</v>
      </c>
      <c r="F3" s="4" t="n">
        <f aca="false">C3-E3</f>
        <v>0</v>
      </c>
    </row>
    <row r="4" customFormat="false" ht="15" hidden="false" customHeight="false" outlineLevel="0" collapsed="false">
      <c r="A4" s="0" t="s">
        <v>41</v>
      </c>
      <c r="B4" s="7" t="n">
        <v>3111847000</v>
      </c>
      <c r="C4" s="4" t="n">
        <f aca="false">B4/1000</f>
        <v>3111847</v>
      </c>
      <c r="D4" s="11" t="n">
        <f aca="false">ROUND(C4,0)</f>
        <v>3111847</v>
      </c>
      <c r="E4" s="11" t="n">
        <v>3111847</v>
      </c>
      <c r="F4" s="4" t="n">
        <f aca="false">C4-E4</f>
        <v>0</v>
      </c>
    </row>
    <row r="5" customFormat="false" ht="15" hidden="false" customHeight="false" outlineLevel="0" collapsed="false">
      <c r="A5" s="0" t="s">
        <v>42</v>
      </c>
      <c r="B5" s="7" t="n">
        <v>30048933000</v>
      </c>
      <c r="C5" s="4" t="n">
        <f aca="false">B5/1000</f>
        <v>30048933</v>
      </c>
      <c r="D5" s="11" t="n">
        <f aca="false">ROUND(C5,0)</f>
        <v>30048933</v>
      </c>
      <c r="E5" s="11" t="n">
        <v>30048933</v>
      </c>
      <c r="F5" s="4" t="n">
        <f aca="false">C5-E5</f>
        <v>0</v>
      </c>
    </row>
    <row r="7" customFormat="false" ht="15" hidden="false" customHeight="false" outlineLevel="0" collapsed="false">
      <c r="A7" s="0" t="s">
        <v>133</v>
      </c>
      <c r="B7" s="0" t="n">
        <f aca="false">SUM(B2:B5)</f>
        <v>36431298000</v>
      </c>
      <c r="C7" s="0" t="n">
        <f aca="false">SUM(C2:C5)</f>
        <v>36431298</v>
      </c>
      <c r="D7" s="0" t="n">
        <f aca="false">SUM(D2:D5)</f>
        <v>36431298</v>
      </c>
      <c r="E7" s="0" t="n">
        <f aca="false">SUM(E2:E5)</f>
        <v>36431298</v>
      </c>
      <c r="F7" s="0" t="n">
        <f aca="false">SUM(F2:F5)</f>
        <v>0</v>
      </c>
    </row>
    <row r="9" customFormat="false" ht="15" hidden="false" customHeight="false" outlineLevel="0" collapsed="false">
      <c r="A9" s="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2026-10-21T02:40:18Z</dcterms:created>
  <dc:creator>openpyxl</dc:creator>
  <dc:description/>
  <dc:language>en-US</dc:language>
  <cp:lastModifiedBy/>
  <dcterms:modified xsi:type="dcterms:W3CDTF">2026-10-21T02:40:21Z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